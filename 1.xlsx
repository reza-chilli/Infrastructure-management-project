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rm 2 arshad\مدیریت نگه داری پروژه های عمرانی\project\New folder\"/>
    </mc:Choice>
  </mc:AlternateContent>
  <xr:revisionPtr revIDLastSave="0" documentId="13_ncr:1_{4A8F9665-685D-4ED1-B8D6-02FE5E305B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idge Data" sheetId="6" r:id="rId1"/>
    <sheet name="Sheet6" sheetId="14" r:id="rId2"/>
    <sheet name="Sheet2" sheetId="10" r:id="rId3"/>
    <sheet name="Sheet1" sheetId="9" r:id="rId4"/>
    <sheet name="Bridge Deterioration Rates" sheetId="8" r:id="rId5"/>
  </sheets>
  <definedNames>
    <definedName name="_xlnm._FilterDatabase" localSheetId="0" hidden="1">'Bridge Data'!$A$1:$R$163</definedName>
    <definedName name="_xlnm.Print_Titles" localSheetId="0">'Bridge Data'!$1:$2</definedName>
  </definedNames>
  <calcPr calcId="191029" calcOnSave="0"/>
  <pivotCaches>
    <pivotCache cacheId="0" r:id="rId6"/>
    <pivotCache cacheId="1" r:id="rId7"/>
  </pivotCaches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4" i="6" l="1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3" i="6"/>
  <c r="V10" i="6"/>
  <c r="W10" i="6" s="1"/>
  <c r="V11" i="6"/>
  <c r="W11" i="6" s="1"/>
  <c r="V12" i="6"/>
  <c r="W12" i="6" s="1"/>
  <c r="V13" i="6"/>
  <c r="W13" i="6" s="1"/>
  <c r="V14" i="6"/>
  <c r="W14" i="6" s="1"/>
  <c r="V15" i="6"/>
  <c r="W15" i="6" s="1"/>
  <c r="V16" i="6"/>
  <c r="W16" i="6" s="1"/>
  <c r="V17" i="6"/>
  <c r="W17" i="6" s="1"/>
  <c r="V18" i="6"/>
  <c r="W18" i="6" s="1"/>
  <c r="V19" i="6"/>
  <c r="W19" i="6" s="1"/>
  <c r="V20" i="6"/>
  <c r="W20" i="6" s="1"/>
  <c r="V21" i="6"/>
  <c r="W21" i="6" s="1"/>
  <c r="V22" i="6"/>
  <c r="W22" i="6" s="1"/>
  <c r="V23" i="6"/>
  <c r="W23" i="6" s="1"/>
  <c r="V24" i="6"/>
  <c r="W24" i="6" s="1"/>
  <c r="V25" i="6"/>
  <c r="W25" i="6" s="1"/>
  <c r="V26" i="6"/>
  <c r="W26" i="6" s="1"/>
  <c r="V27" i="6"/>
  <c r="W27" i="6" s="1"/>
  <c r="V28" i="6"/>
  <c r="W28" i="6" s="1"/>
  <c r="V29" i="6"/>
  <c r="W29" i="6" s="1"/>
  <c r="V30" i="6"/>
  <c r="W30" i="6" s="1"/>
  <c r="V31" i="6"/>
  <c r="W31" i="6" s="1"/>
  <c r="V32" i="6"/>
  <c r="W32" i="6" s="1"/>
  <c r="V33" i="6"/>
  <c r="W33" i="6" s="1"/>
  <c r="V34" i="6"/>
  <c r="W34" i="6" s="1"/>
  <c r="V35" i="6"/>
  <c r="W35" i="6" s="1"/>
  <c r="V36" i="6"/>
  <c r="W36" i="6" s="1"/>
  <c r="V37" i="6"/>
  <c r="W37" i="6" s="1"/>
  <c r="V38" i="6"/>
  <c r="W38" i="6" s="1"/>
  <c r="V39" i="6"/>
  <c r="W39" i="6" s="1"/>
  <c r="V40" i="6"/>
  <c r="W40" i="6" s="1"/>
  <c r="V41" i="6"/>
  <c r="W41" i="6" s="1"/>
  <c r="V42" i="6"/>
  <c r="W42" i="6" s="1"/>
  <c r="V43" i="6"/>
  <c r="W43" i="6" s="1"/>
  <c r="V44" i="6"/>
  <c r="W44" i="6" s="1"/>
  <c r="V45" i="6"/>
  <c r="W45" i="6" s="1"/>
  <c r="V46" i="6"/>
  <c r="W46" i="6" s="1"/>
  <c r="V47" i="6"/>
  <c r="W47" i="6" s="1"/>
  <c r="V48" i="6"/>
  <c r="W48" i="6" s="1"/>
  <c r="V49" i="6"/>
  <c r="W49" i="6" s="1"/>
  <c r="V50" i="6"/>
  <c r="W50" i="6" s="1"/>
  <c r="V51" i="6"/>
  <c r="W51" i="6" s="1"/>
  <c r="V52" i="6"/>
  <c r="W52" i="6" s="1"/>
  <c r="V53" i="6"/>
  <c r="W53" i="6" s="1"/>
  <c r="V54" i="6"/>
  <c r="W54" i="6" s="1"/>
  <c r="V55" i="6"/>
  <c r="W55" i="6" s="1"/>
  <c r="V56" i="6"/>
  <c r="W56" i="6" s="1"/>
  <c r="V57" i="6"/>
  <c r="W57" i="6" s="1"/>
  <c r="V58" i="6"/>
  <c r="W58" i="6" s="1"/>
  <c r="V59" i="6"/>
  <c r="W59" i="6" s="1"/>
  <c r="V60" i="6"/>
  <c r="W60" i="6" s="1"/>
  <c r="V61" i="6"/>
  <c r="W61" i="6" s="1"/>
  <c r="V62" i="6"/>
  <c r="W62" i="6" s="1"/>
  <c r="V63" i="6"/>
  <c r="W63" i="6" s="1"/>
  <c r="V64" i="6"/>
  <c r="W64" i="6" s="1"/>
  <c r="V65" i="6"/>
  <c r="W65" i="6" s="1"/>
  <c r="V66" i="6"/>
  <c r="W66" i="6" s="1"/>
  <c r="V67" i="6"/>
  <c r="W67" i="6" s="1"/>
  <c r="V68" i="6"/>
  <c r="W68" i="6" s="1"/>
  <c r="V69" i="6"/>
  <c r="W69" i="6" s="1"/>
  <c r="V70" i="6"/>
  <c r="W70" i="6" s="1"/>
  <c r="V71" i="6"/>
  <c r="W71" i="6" s="1"/>
  <c r="V72" i="6"/>
  <c r="W72" i="6" s="1"/>
  <c r="V73" i="6"/>
  <c r="W73" i="6" s="1"/>
  <c r="V74" i="6"/>
  <c r="W74" i="6" s="1"/>
  <c r="V75" i="6"/>
  <c r="W75" i="6" s="1"/>
  <c r="V76" i="6"/>
  <c r="W76" i="6" s="1"/>
  <c r="V77" i="6"/>
  <c r="W77" i="6" s="1"/>
  <c r="V78" i="6"/>
  <c r="W78" i="6" s="1"/>
  <c r="V79" i="6"/>
  <c r="W79" i="6" s="1"/>
  <c r="V80" i="6"/>
  <c r="W80" i="6" s="1"/>
  <c r="V81" i="6"/>
  <c r="W81" i="6" s="1"/>
  <c r="V82" i="6"/>
  <c r="W82" i="6" s="1"/>
  <c r="V83" i="6"/>
  <c r="W83" i="6" s="1"/>
  <c r="V84" i="6"/>
  <c r="W84" i="6" s="1"/>
  <c r="V85" i="6"/>
  <c r="W85" i="6" s="1"/>
  <c r="V86" i="6"/>
  <c r="W86" i="6" s="1"/>
  <c r="V87" i="6"/>
  <c r="W87" i="6" s="1"/>
  <c r="V88" i="6"/>
  <c r="W88" i="6" s="1"/>
  <c r="V89" i="6"/>
  <c r="W89" i="6" s="1"/>
  <c r="V90" i="6"/>
  <c r="W90" i="6" s="1"/>
  <c r="V91" i="6"/>
  <c r="W91" i="6" s="1"/>
  <c r="V92" i="6"/>
  <c r="W92" i="6" s="1"/>
  <c r="V93" i="6"/>
  <c r="W93" i="6" s="1"/>
  <c r="V94" i="6"/>
  <c r="W94" i="6" s="1"/>
  <c r="V95" i="6"/>
  <c r="W95" i="6" s="1"/>
  <c r="V96" i="6"/>
  <c r="W96" i="6" s="1"/>
  <c r="V97" i="6"/>
  <c r="W97" i="6" s="1"/>
  <c r="V98" i="6"/>
  <c r="W98" i="6" s="1"/>
  <c r="V99" i="6"/>
  <c r="W99" i="6" s="1"/>
  <c r="V100" i="6"/>
  <c r="W100" i="6" s="1"/>
  <c r="V101" i="6"/>
  <c r="W101" i="6" s="1"/>
  <c r="V102" i="6"/>
  <c r="W102" i="6" s="1"/>
  <c r="V103" i="6"/>
  <c r="W103" i="6" s="1"/>
  <c r="V104" i="6"/>
  <c r="W104" i="6" s="1"/>
  <c r="V105" i="6"/>
  <c r="W105" i="6" s="1"/>
  <c r="V106" i="6"/>
  <c r="W106" i="6" s="1"/>
  <c r="V107" i="6"/>
  <c r="W107" i="6" s="1"/>
  <c r="V108" i="6"/>
  <c r="W108" i="6" s="1"/>
  <c r="V109" i="6"/>
  <c r="W109" i="6" s="1"/>
  <c r="V110" i="6"/>
  <c r="W110" i="6" s="1"/>
  <c r="V111" i="6"/>
  <c r="W111" i="6" s="1"/>
  <c r="V112" i="6"/>
  <c r="W112" i="6" s="1"/>
  <c r="V113" i="6"/>
  <c r="W113" i="6" s="1"/>
  <c r="V114" i="6"/>
  <c r="W114" i="6" s="1"/>
  <c r="V115" i="6"/>
  <c r="W115" i="6" s="1"/>
  <c r="V116" i="6"/>
  <c r="W116" i="6" s="1"/>
  <c r="V117" i="6"/>
  <c r="W117" i="6" s="1"/>
  <c r="V118" i="6"/>
  <c r="W118" i="6" s="1"/>
  <c r="V119" i="6"/>
  <c r="W119" i="6" s="1"/>
  <c r="V120" i="6"/>
  <c r="W120" i="6" s="1"/>
  <c r="V121" i="6"/>
  <c r="W121" i="6" s="1"/>
  <c r="V122" i="6"/>
  <c r="W122" i="6" s="1"/>
  <c r="V123" i="6"/>
  <c r="W123" i="6" s="1"/>
  <c r="V124" i="6"/>
  <c r="W124" i="6" s="1"/>
  <c r="V125" i="6"/>
  <c r="W125" i="6" s="1"/>
  <c r="V126" i="6"/>
  <c r="W126" i="6" s="1"/>
  <c r="V127" i="6"/>
  <c r="W127" i="6" s="1"/>
  <c r="V128" i="6"/>
  <c r="W128" i="6" s="1"/>
  <c r="V129" i="6"/>
  <c r="W129" i="6" s="1"/>
  <c r="V130" i="6"/>
  <c r="W130" i="6" s="1"/>
  <c r="V131" i="6"/>
  <c r="W131" i="6" s="1"/>
  <c r="V132" i="6"/>
  <c r="W132" i="6" s="1"/>
  <c r="V133" i="6"/>
  <c r="W133" i="6" s="1"/>
  <c r="V134" i="6"/>
  <c r="W134" i="6" s="1"/>
  <c r="V135" i="6"/>
  <c r="W135" i="6" s="1"/>
  <c r="V136" i="6"/>
  <c r="W136" i="6" s="1"/>
  <c r="V137" i="6"/>
  <c r="W137" i="6" s="1"/>
  <c r="V138" i="6"/>
  <c r="W138" i="6" s="1"/>
  <c r="V139" i="6"/>
  <c r="W139" i="6" s="1"/>
  <c r="V140" i="6"/>
  <c r="W140" i="6" s="1"/>
  <c r="V141" i="6"/>
  <c r="W141" i="6" s="1"/>
  <c r="V142" i="6"/>
  <c r="W142" i="6" s="1"/>
  <c r="V143" i="6"/>
  <c r="W143" i="6" s="1"/>
  <c r="V144" i="6"/>
  <c r="W144" i="6" s="1"/>
  <c r="V145" i="6"/>
  <c r="W145" i="6" s="1"/>
  <c r="V146" i="6"/>
  <c r="W146" i="6" s="1"/>
  <c r="V147" i="6"/>
  <c r="W147" i="6" s="1"/>
  <c r="V148" i="6"/>
  <c r="W148" i="6" s="1"/>
  <c r="V149" i="6"/>
  <c r="W149" i="6" s="1"/>
  <c r="V150" i="6"/>
  <c r="W150" i="6" s="1"/>
  <c r="V151" i="6"/>
  <c r="W151" i="6" s="1"/>
  <c r="V152" i="6"/>
  <c r="W152" i="6" s="1"/>
  <c r="V153" i="6"/>
  <c r="W153" i="6" s="1"/>
  <c r="V154" i="6"/>
  <c r="W154" i="6" s="1"/>
  <c r="V155" i="6"/>
  <c r="W155" i="6" s="1"/>
  <c r="V156" i="6"/>
  <c r="W156" i="6" s="1"/>
  <c r="V157" i="6"/>
  <c r="W157" i="6" s="1"/>
  <c r="V158" i="6"/>
  <c r="W158" i="6" s="1"/>
  <c r="V159" i="6"/>
  <c r="W159" i="6" s="1"/>
  <c r="V160" i="6"/>
  <c r="W160" i="6" s="1"/>
  <c r="V161" i="6"/>
  <c r="W161" i="6" s="1"/>
  <c r="V162" i="6"/>
  <c r="W162" i="6" s="1"/>
  <c r="V163" i="6"/>
  <c r="W163" i="6" s="1"/>
  <c r="V4" i="6"/>
  <c r="W4" i="6" s="1"/>
  <c r="V5" i="6"/>
  <c r="W5" i="6" s="1"/>
  <c r="V6" i="6"/>
  <c r="W6" i="6" s="1"/>
  <c r="V7" i="6"/>
  <c r="W7" i="6" s="1"/>
  <c r="V8" i="6"/>
  <c r="W8" i="6" s="1"/>
  <c r="V9" i="6"/>
  <c r="W9" i="6" s="1"/>
  <c r="V3" i="6"/>
  <c r="W3" i="6" s="1"/>
  <c r="AA7" i="6" l="1"/>
  <c r="AB6" i="6"/>
  <c r="AB7" i="6"/>
  <c r="AB4" i="6"/>
  <c r="AB5" i="6"/>
  <c r="AB3" i="6"/>
  <c r="AA5" i="6"/>
  <c r="AA6" i="6"/>
  <c r="AA3" i="6"/>
  <c r="AA4" i="6"/>
  <c r="Y6" i="6"/>
  <c r="Y5" i="6"/>
  <c r="Y4" i="6"/>
  <c r="Y7" i="6"/>
  <c r="Y3" i="6"/>
  <c r="AB8" i="6" l="1"/>
  <c r="AA8" i="6"/>
  <c r="Z7" i="6"/>
</calcChain>
</file>

<file path=xl/sharedStrings.xml><?xml version="1.0" encoding="utf-8"?>
<sst xmlns="http://schemas.openxmlformats.org/spreadsheetml/2006/main" count="2009" uniqueCount="342">
  <si>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</si>
  <si>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</si>
  <si>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</si>
  <si>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</si>
  <si>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</si>
  <si>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</si>
  <si>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</si>
  <si>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</si>
  <si>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</si>
  <si>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</si>
  <si>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</si>
  <si>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</si>
  <si>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</si>
  <si>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</si>
  <si>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</si>
  <si>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</si>
  <si>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</si>
  <si>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</si>
  <si>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</si>
  <si>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</si>
  <si>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</si>
  <si>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</si>
  <si>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</si>
  <si>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</si>
  <si>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</si>
  <si>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</si>
  <si>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</si>
  <si>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</si>
  <si>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</si>
  <si>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</si>
  <si>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</si>
  <si>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</si>
  <si>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</si>
  <si>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</si>
  <si>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</si>
  <si>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</si>
  <si>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</si>
  <si>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</si>
  <si>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</si>
  <si>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</si>
  <si>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</si>
  <si>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</si>
  <si>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</si>
  <si>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</si>
  <si>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</si>
  <si>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</si>
  <si>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</si>
  <si>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</si>
  <si>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</si>
  <si>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</si>
  <si>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</si>
  <si>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</si>
  <si>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</si>
  <si>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</si>
  <si>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</si>
  <si>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</si>
  <si>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</si>
  <si>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</si>
  <si>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</si>
  <si>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</si>
  <si>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</si>
  <si>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</si>
  <si>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</si>
  <si>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</si>
  <si>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</si>
  <si>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</si>
  <si>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</si>
  <si>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</si>
  <si>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</si>
  <si>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</si>
  <si>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</si>
  <si>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</si>
  <si>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</si>
  <si>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</si>
  <si>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</si>
  <si>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</si>
  <si>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</si>
  <si>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</si>
  <si>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</si>
  <si>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</si>
  <si>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</si>
  <si>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</si>
  <si>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</si>
  <si>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</si>
  <si>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</si>
  <si>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</si>
  <si>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</si>
  <si>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</si>
  <si>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</si>
  <si>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</si>
  <si>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</si>
  <si>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</si>
  <si>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</si>
  <si>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</si>
  <si>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</si>
  <si>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</si>
  <si>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</si>
  <si>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</si>
  <si>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</si>
  <si>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</si>
  <si>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</si>
  <si>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</si>
  <si>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</si>
  <si>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</si>
  <si>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</si>
  <si>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</si>
  <si>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</si>
  <si>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</si>
  <si>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</si>
  <si>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</si>
  <si>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</si>
  <si>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</si>
  <si>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</si>
  <si>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</si>
  <si>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</si>
  <si>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</si>
  <si>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</si>
  <si>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</si>
  <si>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</si>
  <si>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</si>
  <si>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</si>
  <si>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</si>
  <si>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</si>
  <si>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</si>
  <si>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</si>
  <si>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</si>
  <si>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</si>
  <si>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</si>
  <si>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</si>
  <si>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</si>
  <si>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</si>
  <si>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</si>
  <si>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</si>
  <si>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</si>
  <si>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</si>
  <si>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</si>
  <si>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</si>
  <si>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</si>
  <si>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</si>
  <si>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</si>
  <si>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</si>
  <si>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</si>
  <si>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</si>
  <si>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</si>
  <si>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</si>
  <si>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</si>
  <si>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</si>
  <si>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</si>
  <si>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</si>
  <si>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</si>
  <si>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</si>
  <si>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</si>
  <si>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</si>
  <si>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</si>
  <si>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</si>
  <si>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</si>
  <si>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</si>
  <si>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</si>
  <si>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</si>
  <si>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</si>
  <si>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</si>
  <si>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KM</t>
  </si>
  <si>
    <t>First Year In Service</t>
  </si>
  <si>
    <t>R </t>
  </si>
  <si>
    <t>L </t>
  </si>
  <si>
    <t>C </t>
  </si>
  <si>
    <t>Hwy ID</t>
  </si>
  <si>
    <t>Hwy Dir</t>
  </si>
  <si>
    <t>72A</t>
  </si>
  <si>
    <t>72B</t>
  </si>
  <si>
    <t>72C</t>
  </si>
  <si>
    <t>72D</t>
  </si>
  <si>
    <t>72E</t>
  </si>
  <si>
    <t>99A</t>
  </si>
  <si>
    <t>102A</t>
  </si>
  <si>
    <t>102B</t>
  </si>
  <si>
    <t>102C</t>
  </si>
  <si>
    <t>105A</t>
  </si>
  <si>
    <t>75A</t>
  </si>
  <si>
    <t>75B</t>
  </si>
  <si>
    <t>75C</t>
  </si>
  <si>
    <t>75D</t>
  </si>
  <si>
    <t>75E</t>
  </si>
  <si>
    <t>75F</t>
  </si>
  <si>
    <t>75G</t>
  </si>
  <si>
    <t>132A</t>
  </si>
  <si>
    <t>132B</t>
  </si>
  <si>
    <t>132D</t>
  </si>
  <si>
    <t>135A</t>
  </si>
  <si>
    <t>135B</t>
  </si>
  <si>
    <t>135C</t>
  </si>
  <si>
    <t>135D</t>
  </si>
  <si>
    <t>135E</t>
  </si>
  <si>
    <t>135F</t>
  </si>
  <si>
    <t>135H</t>
  </si>
  <si>
    <t>135I</t>
  </si>
  <si>
    <t>66B</t>
  </si>
  <si>
    <t>138B</t>
  </si>
  <si>
    <t>138C</t>
  </si>
  <si>
    <t>141A</t>
  </si>
  <si>
    <t>141B</t>
  </si>
  <si>
    <t>144A</t>
  </si>
  <si>
    <t>150A</t>
  </si>
  <si>
    <t>150B</t>
  </si>
  <si>
    <t>150C</t>
  </si>
  <si>
    <t>6A</t>
  </si>
  <si>
    <t>6B</t>
  </si>
  <si>
    <t>6C</t>
  </si>
  <si>
    <t>6G</t>
  </si>
  <si>
    <t>78A</t>
  </si>
  <si>
    <t>78B</t>
  </si>
  <si>
    <t>78C</t>
  </si>
  <si>
    <t>177A</t>
  </si>
  <si>
    <t>177B</t>
  </si>
  <si>
    <t>177C</t>
  </si>
  <si>
    <t>9A</t>
  </si>
  <si>
    <t>195A</t>
  </si>
  <si>
    <t>231A</t>
  </si>
  <si>
    <t>231B</t>
  </si>
  <si>
    <t>237A</t>
  </si>
  <si>
    <t>237D</t>
  </si>
  <si>
    <t>285A</t>
  </si>
  <si>
    <t>93A</t>
  </si>
  <si>
    <t>96A</t>
  </si>
  <si>
    <t>96B</t>
  </si>
  <si>
    <t>96C</t>
  </si>
  <si>
    <t>96D</t>
  </si>
  <si>
    <t xml:space="preserve">MAJ </t>
  </si>
  <si>
    <t xml:space="preserve">STD </t>
  </si>
  <si>
    <t>Structure ID</t>
  </si>
  <si>
    <t>Bridge Cat</t>
  </si>
  <si>
    <t>Insp Date</t>
  </si>
  <si>
    <t>RB,TH</t>
  </si>
  <si>
    <t>RM</t>
  </si>
  <si>
    <t>PE</t>
  </si>
  <si>
    <t>Nominal Bridge Ln (m)</t>
  </si>
  <si>
    <t>VSO</t>
  </si>
  <si>
    <t>FM</t>
  </si>
  <si>
    <t>PM</t>
  </si>
  <si>
    <t>SM</t>
  </si>
  <si>
    <t>VS</t>
  </si>
  <si>
    <t xml:space="preserve"> </t>
  </si>
  <si>
    <t>3A</t>
  </si>
  <si>
    <t>DBT</t>
  </si>
  <si>
    <t>SCC</t>
  </si>
  <si>
    <t>TT,RB</t>
  </si>
  <si>
    <t>TP</t>
  </si>
  <si>
    <t>HC</t>
  </si>
  <si>
    <t>CS,PO</t>
  </si>
  <si>
    <t>PE,PM</t>
  </si>
  <si>
    <t>RO,GS</t>
  </si>
  <si>
    <t>SMC</t>
  </si>
  <si>
    <t>RG</t>
  </si>
  <si>
    <t>Cond Rat</t>
  </si>
  <si>
    <t>Max Span Ln (m)</t>
  </si>
  <si>
    <t>Usage Code</t>
  </si>
  <si>
    <t>Unique Span Type</t>
  </si>
  <si>
    <t>No of Spans</t>
  </si>
  <si>
    <t>Total Clear Roadway (m)</t>
  </si>
  <si>
    <t>GS</t>
  </si>
  <si>
    <t>WG</t>
  </si>
  <si>
    <t>FC</t>
  </si>
  <si>
    <t>RV</t>
  </si>
  <si>
    <t>DBC</t>
  </si>
  <si>
    <t>RO</t>
  </si>
  <si>
    <t>RB</t>
  </si>
  <si>
    <t>SP</t>
  </si>
  <si>
    <t>CBC</t>
  </si>
  <si>
    <t>CT</t>
  </si>
  <si>
    <t>IC</t>
  </si>
  <si>
    <t>PJ</t>
  </si>
  <si>
    <t>PO</t>
  </si>
  <si>
    <t>VF</t>
  </si>
  <si>
    <t>CX</t>
  </si>
  <si>
    <t>RD</t>
  </si>
  <si>
    <t>CV</t>
  </si>
  <si>
    <t>RU</t>
  </si>
  <si>
    <t>CA</t>
  </si>
  <si>
    <t>PS</t>
  </si>
  <si>
    <t>PQ</t>
  </si>
  <si>
    <t>LF</t>
  </si>
  <si>
    <t>CBT</t>
  </si>
  <si>
    <t>FR</t>
  </si>
  <si>
    <t>CF</t>
  </si>
  <si>
    <t>Bridge Type</t>
  </si>
  <si>
    <t>99 to 88</t>
  </si>
  <si>
    <t>88 to 77</t>
  </si>
  <si>
    <t>77 to 66</t>
  </si>
  <si>
    <t>66 to 55</t>
  </si>
  <si>
    <t>55 to 44</t>
  </si>
  <si>
    <t>44 to 33</t>
  </si>
  <si>
    <t>33 to 22</t>
  </si>
  <si>
    <t>22 to 11</t>
  </si>
  <si>
    <t>Deterioration Rates based on Condition Ranges (unit/yr)</t>
  </si>
  <si>
    <t>Other</t>
  </si>
  <si>
    <t>Steel Beam</t>
  </si>
  <si>
    <t>Steel Truss</t>
  </si>
  <si>
    <t>Traffic Volume (AADT)</t>
  </si>
  <si>
    <t>Condition Range</t>
  </si>
  <si>
    <t>Cast in Place Concrete</t>
  </si>
  <si>
    <t>Prestressed Girder -Concrete</t>
  </si>
  <si>
    <t>Precast Girder</t>
  </si>
  <si>
    <t>Replacement Cost ($2020)</t>
  </si>
  <si>
    <t xml:space="preserve">Deck </t>
  </si>
  <si>
    <t xml:space="preserve">Super </t>
  </si>
  <si>
    <t>Sub</t>
  </si>
  <si>
    <t>bridge age</t>
  </si>
  <si>
    <t>age_dist</t>
  </si>
  <si>
    <t>age_group</t>
  </si>
  <si>
    <t>0-25</t>
  </si>
  <si>
    <t>25-50</t>
  </si>
  <si>
    <t>50-75</t>
  </si>
  <si>
    <t>75-100</t>
  </si>
  <si>
    <t>&gt;100</t>
  </si>
  <si>
    <t>count</t>
  </si>
  <si>
    <t>count major</t>
  </si>
  <si>
    <t>count standard</t>
  </si>
  <si>
    <t>Overall cond rate</t>
  </si>
  <si>
    <t>HWY ID</t>
  </si>
  <si>
    <t>Bridge ID</t>
  </si>
  <si>
    <t>HWY Dir</t>
  </si>
  <si>
    <t>km</t>
  </si>
  <si>
    <t>Replacement Cost</t>
  </si>
  <si>
    <t>First year in service</t>
  </si>
  <si>
    <t>Unique span type</t>
  </si>
  <si>
    <t>max span len</t>
  </si>
  <si>
    <t>No of span</t>
  </si>
  <si>
    <t>nominal bridge len (m)</t>
  </si>
  <si>
    <t>Total clear roadway</t>
  </si>
  <si>
    <t>Row Labels</t>
  </si>
  <si>
    <t>Grand Total</t>
  </si>
  <si>
    <t>Average of Overall cond rate</t>
  </si>
  <si>
    <t>14-23</t>
  </si>
  <si>
    <t>24-33</t>
  </si>
  <si>
    <t>34-43</t>
  </si>
  <si>
    <t>44-53</t>
  </si>
  <si>
    <t>54-63</t>
  </si>
  <si>
    <t>64-73</t>
  </si>
  <si>
    <t>74-83</t>
  </si>
  <si>
    <t>84-93</t>
  </si>
  <si>
    <t>94-103</t>
  </si>
  <si>
    <t>114-123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</si>
</sst>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0.0"/>
    <numFmt numFmtId="167" formatCode="_-&quot;$&quot;* #,##0.000_-;\-&quot;$&quot;* #,##0.000_-;_-&quot;$&quot;* &quot;-&quot;??_-;_-@_-"/>
    <numFmt numFmtId="168" formatCode="0.000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">
    <xf numFmtId="0" fontId="0" fillId="0" borderId="0"/>
    <xf numFmtId="0" fontId="9" fillId="3" borderId="0" applyNumberFormat="0" applyBorder="0" applyAlignment="0" applyProtection="0"/>
    <xf numFmtId="0" fontId="8" fillId="2" borderId="0" applyNumberFormat="0" applyBorder="0" applyAlignment="0" applyProtection="0"/>
    <xf numFmtId="164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1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8" fillId="2" borderId="6" xfId="2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8" fillId="2" borderId="17" xfId="2" applyBorder="1" applyAlignment="1">
      <alignment horizontal="center"/>
    </xf>
    <xf numFmtId="0" fontId="8" fillId="2" borderId="18" xfId="2" applyBorder="1" applyAlignment="1">
      <alignment horizontal="center"/>
    </xf>
    <xf numFmtId="0" fontId="0" fillId="0" borderId="19" xfId="0" applyBorder="1"/>
    <xf numFmtId="0" fontId="0" fillId="0" borderId="13" xfId="0" applyBorder="1"/>
    <xf numFmtId="0" fontId="6" fillId="0" borderId="15" xfId="0" applyFont="1" applyBorder="1" applyAlignment="1">
      <alignment horizontal="left"/>
    </xf>
    <xf numFmtId="0" fontId="6" fillId="0" borderId="23" xfId="0" applyFont="1" applyFill="1" applyBorder="1" applyAlignment="1">
      <alignment horizontal="left" wrapText="1"/>
    </xf>
    <xf numFmtId="0" fontId="5" fillId="0" borderId="23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2" fontId="0" fillId="0" borderId="0" xfId="0" applyNumberFormat="1" applyFill="1" applyBorder="1" applyAlignment="1">
      <alignment horizontal="center"/>
    </xf>
    <xf numFmtId="165" fontId="0" fillId="0" borderId="0" xfId="3" applyNumberFormat="1" applyFont="1"/>
    <xf numFmtId="165" fontId="0" fillId="0" borderId="0" xfId="0" applyNumberFormat="1"/>
    <xf numFmtId="1" fontId="3" fillId="0" borderId="1" xfId="0" applyNumberFormat="1" applyFont="1" applyFill="1" applyBorder="1" applyAlignment="1">
      <alignment horizontal="center"/>
    </xf>
    <xf numFmtId="2" fontId="0" fillId="0" borderId="0" xfId="0" applyNumberFormat="1"/>
    <xf numFmtId="165" fontId="3" fillId="0" borderId="1" xfId="3" applyNumberFormat="1" applyFont="1" applyFill="1" applyBorder="1" applyAlignment="1">
      <alignment horizontal="center"/>
    </xf>
    <xf numFmtId="0" fontId="0" fillId="0" borderId="5" xfId="0" applyBorder="1" applyAlignment="1">
      <alignment horizontal="center" vertical="distributed"/>
    </xf>
    <xf numFmtId="0" fontId="0" fillId="0" borderId="3" xfId="0" applyBorder="1" applyAlignment="1">
      <alignment vertical="distributed"/>
    </xf>
    <xf numFmtId="166" fontId="3" fillId="0" borderId="1" xfId="0" applyNumberFormat="1" applyFont="1" applyFill="1" applyBorder="1" applyAlignment="1">
      <alignment horizontal="center"/>
    </xf>
    <xf numFmtId="166" fontId="3" fillId="0" borderId="3" xfId="0" applyNumberFormat="1" applyFont="1" applyFill="1" applyBorder="1" applyAlignment="1">
      <alignment horizontal="center"/>
    </xf>
    <xf numFmtId="1" fontId="3" fillId="0" borderId="3" xfId="0" applyNumberFormat="1" applyFont="1" applyFill="1" applyBorder="1" applyAlignment="1">
      <alignment horizontal="center"/>
    </xf>
    <xf numFmtId="167" fontId="3" fillId="0" borderId="2" xfId="3" applyNumberFormat="1" applyFont="1" applyFill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" fontId="0" fillId="0" borderId="0" xfId="3" applyNumberFormat="1" applyFont="1"/>
    <xf numFmtId="0" fontId="1" fillId="0" borderId="0" xfId="0" applyFont="1"/>
    <xf numFmtId="0" fontId="10" fillId="0" borderId="24" xfId="0" applyFont="1" applyBorder="1" applyAlignment="1">
      <alignment horizontal="center" vertical="center" wrapText="1"/>
    </xf>
    <xf numFmtId="0" fontId="10" fillId="0" borderId="24" xfId="0" applyFont="1" applyBorder="1"/>
    <xf numFmtId="0" fontId="10" fillId="0" borderId="0" xfId="0" applyFont="1" applyAlignment="1">
      <alignment horizontal="center" vertical="center" wrapText="1"/>
    </xf>
    <xf numFmtId="0" fontId="10" fillId="0" borderId="0" xfId="0" applyFont="1"/>
    <xf numFmtId="168" fontId="0" fillId="0" borderId="0" xfId="0" applyNumberFormat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5" fontId="3" fillId="0" borderId="1" xfId="3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166" fontId="3" fillId="0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distributed"/>
    </xf>
    <xf numFmtId="0" fontId="4" fillId="0" borderId="10" xfId="0" applyFont="1" applyBorder="1" applyAlignment="1">
      <alignment horizontal="center" vertical="distributed"/>
    </xf>
    <xf numFmtId="0" fontId="4" fillId="0" borderId="14" xfId="0" applyFont="1" applyBorder="1" applyAlignment="1">
      <alignment horizontal="center" vertical="distributed"/>
    </xf>
    <xf numFmtId="0" fontId="4" fillId="0" borderId="4" xfId="0" applyFont="1" applyBorder="1" applyAlignment="1">
      <alignment horizontal="center" vertical="distributed"/>
    </xf>
    <xf numFmtId="0" fontId="0" fillId="0" borderId="4" xfId="0" applyBorder="1" applyAlignment="1">
      <alignment horizontal="center" vertical="distributed"/>
    </xf>
    <xf numFmtId="0" fontId="4" fillId="0" borderId="11" xfId="0" applyFont="1" applyBorder="1" applyAlignment="1">
      <alignment horizontal="center" vertical="distributed"/>
    </xf>
    <xf numFmtId="0" fontId="0" fillId="0" borderId="3" xfId="0" applyBorder="1" applyAlignment="1">
      <alignment horizontal="center" vertical="distributed"/>
    </xf>
    <xf numFmtId="0" fontId="4" fillId="0" borderId="1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3" borderId="7" xfId="1" applyFont="1" applyBorder="1" applyAlignment="1">
      <alignment horizontal="center"/>
    </xf>
    <xf numFmtId="0" fontId="7" fillId="3" borderId="8" xfId="1" applyFont="1" applyBorder="1" applyAlignment="1">
      <alignment horizontal="center"/>
    </xf>
    <xf numFmtId="0" fontId="7" fillId="3" borderId="9" xfId="1" applyFont="1" applyBorder="1" applyAlignment="1">
      <alignment horizontal="center"/>
    </xf>
  </cellXfs>
  <cellStyles count="4">
    <cellStyle name="60% - Accent4" xfId="1" builtinId="44"/>
    <cellStyle name="Accent1" xfId="2" builtinId="29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Bridge</a:t>
            </a:r>
            <a:r>
              <a:rPr lang="en-US" baseline="0"/>
              <a:t> Age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'Bridge Data'!$X$3:$X$7</c:f>
              <c:strCache>
                <c:ptCount val="5"/>
                <c:pt idx="0">
                  <c:v>0-25</c:v>
                </c:pt>
                <c:pt idx="1">
                  <c:v>25-50</c:v>
                </c:pt>
                <c:pt idx="2">
                  <c:v>50-75</c:v>
                </c:pt>
                <c:pt idx="3">
                  <c:v>75-100</c:v>
                </c:pt>
                <c:pt idx="4">
                  <c:v>&gt;100</c:v>
                </c:pt>
              </c:strCache>
            </c:strRef>
          </c:cat>
          <c:val>
            <c:numRef>
              <c:f>'Bridge Data'!$Y$3:$Y$7</c:f>
              <c:numCache>
                <c:formatCode>General</c:formatCode>
                <c:ptCount val="5"/>
                <c:pt idx="0">
                  <c:v>6</c:v>
                </c:pt>
                <c:pt idx="1">
                  <c:v>75</c:v>
                </c:pt>
                <c:pt idx="2">
                  <c:v>74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C-4FC8-A048-C07E54006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1757295"/>
        <c:axId val="1471751535"/>
      </c:barChart>
      <c:catAx>
        <c:axId val="1471757295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Group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751535"/>
        <c:crosses val="autoZero"/>
        <c:auto val="1"/>
        <c:lblAlgn val="ctr"/>
        <c:lblOffset val="100"/>
        <c:noMultiLvlLbl val="0"/>
      </c:catAx>
      <c:valAx>
        <c:axId val="147175153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75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Major</a:t>
            </a:r>
            <a:r>
              <a:rPr lang="en-US" baseline="0"/>
              <a:t> Bridge Age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'Bridge Data'!$X$3:$X$7</c:f>
              <c:strCache>
                <c:ptCount val="5"/>
                <c:pt idx="0">
                  <c:v>0-25</c:v>
                </c:pt>
                <c:pt idx="1">
                  <c:v>25-50</c:v>
                </c:pt>
                <c:pt idx="2">
                  <c:v>50-75</c:v>
                </c:pt>
                <c:pt idx="3">
                  <c:v>75-100</c:v>
                </c:pt>
                <c:pt idx="4">
                  <c:v>&gt;100</c:v>
                </c:pt>
              </c:strCache>
            </c:strRef>
          </c:cat>
          <c:val>
            <c:numRef>
              <c:f>'Bridge Data'!$AA$3:$AA$7</c:f>
              <c:numCache>
                <c:formatCode>General</c:formatCode>
                <c:ptCount val="5"/>
                <c:pt idx="0">
                  <c:v>6</c:v>
                </c:pt>
                <c:pt idx="1">
                  <c:v>60</c:v>
                </c:pt>
                <c:pt idx="2">
                  <c:v>69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3-4665-808C-4193A388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1369103"/>
        <c:axId val="471366703"/>
      </c:barChart>
      <c:catAx>
        <c:axId val="471369103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366703"/>
        <c:crosses val="autoZero"/>
        <c:auto val="1"/>
        <c:lblAlgn val="ctr"/>
        <c:lblOffset val="100"/>
        <c:noMultiLvlLbl val="0"/>
      </c:catAx>
      <c:valAx>
        <c:axId val="47136670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36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 Bridge</a:t>
            </a:r>
            <a:r>
              <a:rPr lang="en-US" baseline="0"/>
              <a:t> Age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'Bridge Data'!$X$3:$X$7</c:f>
              <c:strCache>
                <c:ptCount val="5"/>
                <c:pt idx="0">
                  <c:v>0-25</c:v>
                </c:pt>
                <c:pt idx="1">
                  <c:v>25-50</c:v>
                </c:pt>
                <c:pt idx="2">
                  <c:v>50-75</c:v>
                </c:pt>
                <c:pt idx="3">
                  <c:v>75-100</c:v>
                </c:pt>
                <c:pt idx="4">
                  <c:v>&gt;100</c:v>
                </c:pt>
              </c:strCache>
            </c:strRef>
          </c:cat>
          <c:val>
            <c:numRef>
              <c:f>'Bridge Data'!$AB$3:$AB$7</c:f>
              <c:numCache>
                <c:formatCode>General</c:formatCode>
                <c:ptCount val="5"/>
                <c:pt idx="0">
                  <c:v>0</c:v>
                </c:pt>
                <c:pt idx="1">
                  <c:v>15</c:v>
                </c:pt>
                <c:pt idx="2">
                  <c:v>5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0-4690-948B-45C059507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6017423"/>
        <c:axId val="556019823"/>
      </c:barChart>
      <c:catAx>
        <c:axId val="556017423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Group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019823"/>
        <c:crosses val="autoZero"/>
        <c:auto val="1"/>
        <c:lblAlgn val="ctr"/>
        <c:lblOffset val="100"/>
        <c:noMultiLvlLbl val="0"/>
      </c:catAx>
      <c:valAx>
        <c:axId val="55601982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01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372036</xdr:colOff>
      <xdr:row>5</xdr:row>
      <xdr:rowOff>161366</xdr:rowOff>
    </xdr:from>
    <xdr:to>
      <xdr:col>36</xdr:col>
      <xdr:colOff>488578</xdr:colOff>
      <xdr:row>20</xdr:row>
      <xdr:rowOff>80683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C581F-823B-CC3F-66AC-0740E3FC5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40342</xdr:colOff>
      <xdr:row>18</xdr:row>
      <xdr:rowOff>53789</xdr:rowOff>
    </xdr:from>
    <xdr:to>
      <xdr:col>29</xdr:col>
      <xdr:colOff>85166</xdr:colOff>
      <xdr:row>32</xdr:row>
      <xdr:rowOff>161365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277FD7-029A-3165-2D11-7B837D861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363071</xdr:colOff>
      <xdr:row>12</xdr:row>
      <xdr:rowOff>44824</xdr:rowOff>
    </xdr:from>
    <xdr:to>
      <xdr:col>31</xdr:col>
      <xdr:colOff>587189</xdr:colOff>
      <xdr:row>26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20AD6B-2FFD-90D0-F2C4-7EABC3FC1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80.473752430553" createdVersion="8" refreshedVersion="8" minRefreshableVersion="3" recordCount="7" xr:uid="{46C1786C-9C47-478C-91A5-644E0C20496D}">
  <cacheSource type="worksheet">
    <worksheetSource ref="A2:I9" sheet="Bridge Deterioration Rates"/>
  </cacheSource>
  <cacheFields count="9">
    <cacheField name="Condition Range" numFmtId="0">
      <sharedItems/>
    </cacheField>
    <cacheField name="99 to 88" numFmtId="0">
      <sharedItems containsString="0" containsBlank="1" containsNumber="1" minValue="2.16" maxValue="5.4"/>
    </cacheField>
    <cacheField name="88 to 77" numFmtId="0">
      <sharedItems containsString="0" containsBlank="1" containsNumber="1" minValue="1.4076131330002117" maxValue="3.2098570110362927"/>
    </cacheField>
    <cacheField name="77 to 66" numFmtId="0">
      <sharedItems containsString="0" containsBlank="1" containsNumber="1" minValue="1.12707089298576" maxValue="1.6931563886704517"/>
    </cacheField>
    <cacheField name="66 to 55" numFmtId="0">
      <sharedItems containsString="0" containsBlank="1" containsNumber="1" minValue="1.1199999999999999" maxValue="1.4400000000000002"/>
    </cacheField>
    <cacheField name="55 to 44" numFmtId="0">
      <sharedItems containsString="0" containsBlank="1" containsNumber="1" minValue="1.0874253547464683" maxValue="1.5174693953394651"/>
    </cacheField>
    <cacheField name="44 to 33" numFmtId="0">
      <sharedItems containsString="0" containsBlank="1" containsNumber="1" minValue="1.2387605035438671" maxValue="2.0704729133804021"/>
    </cacheField>
    <cacheField name="33 to 22" numFmtId="0">
      <sharedItems containsString="0" containsBlank="1" containsNumber="1" minValue="1.8081520274296263" maxValue="3.1362107454035755"/>
    </cacheField>
    <cacheField name="22 to 11" numFmtId="0">
      <sharedItems containsString="0" containsBlank="1" containsNumber="1" minValue="2.4496619857172104" maxValue="7.8000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80.496517129628" createdVersion="8" refreshedVersion="8" minRefreshableVersion="3" recordCount="161" xr:uid="{0573AB52-4BBD-429E-BAE1-291692C261B9}">
  <cacheSource type="worksheet">
    <worksheetSource ref="A1:Q162" sheet="Sheet2"/>
  </cacheSource>
  <cacheFields count="17">
    <cacheField name="Bridge ID" numFmtId="0">
      <sharedItems/>
    </cacheField>
    <cacheField name="Bridge Cat" numFmtId="0">
      <sharedItems/>
    </cacheField>
    <cacheField name="HWY ID" numFmtId="0">
      <sharedItems/>
    </cacheField>
    <cacheField name="HWY Dir" numFmtId="0">
      <sharedItems/>
    </cacheField>
    <cacheField name="km" numFmtId="0">
      <sharedItems containsSemiMixedTypes="0" containsString="0" containsNumber="1" minValue="0" maxValue="60.908999999999999"/>
    </cacheField>
    <cacheField name="Usage Code" numFmtId="0">
      <sharedItems/>
    </cacheField>
    <cacheField name="Replacement Cost" numFmtId="0">
      <sharedItems containsSemiMixedTypes="0" containsString="0" containsNumber="1" minValue="44744.264739635" maxValue="8418119.6057451442"/>
    </cacheField>
    <cacheField name="First year in service" numFmtId="0">
      <sharedItems containsSemiMixedTypes="0" containsString="0" containsNumber="1" containsInteger="1" minValue="1904" maxValue="2012"/>
    </cacheField>
    <cacheField name="Unique span type" numFmtId="0">
      <sharedItems/>
    </cacheField>
    <cacheField name="max span len" numFmtId="0">
      <sharedItems containsSemiMixedTypes="0" containsString="0" containsNumber="1" minValue="1.8" maxValue="69.2"/>
    </cacheField>
    <cacheField name="No of span" numFmtId="0">
      <sharedItems containsSemiMixedTypes="0" containsString="0" containsNumber="1" containsInteger="1" minValue="1" maxValue="8"/>
    </cacheField>
    <cacheField name="nominal bridge len (m)" numFmtId="1">
      <sharedItems containsSemiMixedTypes="0" containsString="0" containsNumber="1" minValue="2.6342788940730077" maxValue="478.52495009516002"/>
    </cacheField>
    <cacheField name="Total clear roadway" numFmtId="166">
      <sharedItems containsSemiMixedTypes="0" containsString="0" containsNumber="1" minValue="3.2569623099441389" maxValue="47.26919660217942"/>
    </cacheField>
    <cacheField name="Insp Date" numFmtId="0">
      <sharedItems containsSemiMixedTypes="0" containsString="0" containsNumber="1" containsInteger="1" minValue="2017" maxValue="2021"/>
    </cacheField>
    <cacheField name="Traffic Volume (AADT)" numFmtId="1">
      <sharedItems containsSemiMixedTypes="0" containsString="0" containsNumber="1" containsInteger="1" minValue="1098" maxValue="19965"/>
    </cacheField>
    <cacheField name="Overall cond rate" numFmtId="1">
      <sharedItems containsSemiMixedTypes="0" containsString="0" containsNumber="1" minValue="37.405210103186732" maxValue="64.635912457217316"/>
    </cacheField>
    <cacheField name="bridge age" numFmtId="0">
      <sharedItems containsSemiMixedTypes="0" containsString="0" containsNumber="1" containsInteger="1" minValue="14" maxValue="122" count="56">
        <n v="51"/>
        <n v="48"/>
        <n v="67"/>
        <n v="34"/>
        <n v="68"/>
        <n v="66"/>
        <n v="64"/>
        <n v="26"/>
        <n v="30"/>
        <n v="43"/>
        <n v="45"/>
        <n v="122"/>
        <n v="70"/>
        <n v="63"/>
        <n v="60"/>
        <n v="33"/>
        <n v="47"/>
        <n v="32"/>
        <n v="52"/>
        <n v="56"/>
        <n v="28"/>
        <n v="57"/>
        <n v="59"/>
        <n v="58"/>
        <n v="29"/>
        <n v="35"/>
        <n v="61"/>
        <n v="53"/>
        <n v="31"/>
        <n v="50"/>
        <n v="36"/>
        <n v="41"/>
        <n v="65"/>
        <n v="49"/>
        <n v="71"/>
        <n v="97"/>
        <n v="54"/>
        <n v="27"/>
        <n v="46"/>
        <n v="88"/>
        <n v="86"/>
        <n v="37"/>
        <n v="73"/>
        <n v="55"/>
        <n v="38"/>
        <n v="23"/>
        <n v="77"/>
        <n v="44"/>
        <n v="78"/>
        <n v="39"/>
        <n v="62"/>
        <n v="25"/>
        <n v="18"/>
        <n v="42"/>
        <n v="14"/>
        <n v="40"/>
      </sharedItems>
      <fieldGroup base="16">
        <rangePr startNum="14" endNum="122" groupInterval="10"/>
        <groupItems count="13">
          <s v="&lt;14"/>
          <s v="14-23"/>
          <s v="24-33"/>
          <s v="34-43"/>
          <s v="44-53"/>
          <s v="54-63"/>
          <s v="64-73"/>
          <s v="74-83"/>
          <s v="84-93"/>
          <s v="94-103"/>
          <s v="104-113"/>
          <s v="114-123"/>
          <s v="&gt;1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Bridge Type"/>
    <m/>
    <m/>
    <m/>
    <m/>
    <m/>
    <m/>
    <m/>
    <m/>
  </r>
  <r>
    <s v="Prestressed Girder -Concrete"/>
    <n v="2.16"/>
    <n v="1.4713439962074859"/>
    <n v="1.3024814357882581"/>
    <n v="1.1199999999999999"/>
    <n v="1.392407135684663"/>
    <n v="1.5726537877709967"/>
    <n v="2.0656471253130859"/>
    <n v="3.7155682110372106"/>
  </r>
  <r>
    <s v="Precast Girder"/>
    <n v="5.4"/>
    <n v="1.8397554490531491"/>
    <n v="1.378226343819509"/>
    <n v="1.1199999999999999"/>
    <n v="1.1212590234571118"/>
    <n v="1.2986656634558598"/>
    <n v="1.9331328233532554"/>
    <n v="3.6508066615170329"/>
  </r>
  <r>
    <s v="Cast in Place Concrete"/>
    <n v="4.2026361242699464"/>
    <n v="2.2298607132829185"/>
    <n v="1.1729581165315786"/>
    <n v="1.26"/>
    <n v="1.3009934198309752"/>
    <n v="1.2387605035438671"/>
    <n v="1.8081520274296263"/>
    <n v="4.7229517100396885"/>
  </r>
  <r>
    <s v="Other"/>
    <n v="2.72"/>
    <n v="1.4076131330002117"/>
    <n v="1.6931563886704517"/>
    <n v="1.26"/>
    <n v="1.2671772378490995"/>
    <n v="2.0704729133804021"/>
    <n v="3.1362107454035755"/>
    <n v="2.7972580805776408"/>
  </r>
  <r>
    <s v="Steel Beam"/>
    <n v="2.64"/>
    <n v="1.9061458148091335"/>
    <n v="1.12707089298576"/>
    <n v="1.4400000000000002"/>
    <n v="1.0874253547464683"/>
    <n v="1.7022425880626988"/>
    <n v="2.1090939618688345"/>
    <n v="2.4496619857172104"/>
  </r>
  <r>
    <s v="Steel Truss"/>
    <n v="3.5999999999999996"/>
    <n v="3.2098570110362927"/>
    <n v="1.2497194174691528"/>
    <n v="1.35"/>
    <n v="1.5174693953394651"/>
    <n v="1.7516386630907834"/>
    <n v="2.7024456568317623"/>
    <n v="7.800000000000000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s v="B1"/>
    <s v="STD "/>
    <s v="135A"/>
    <s v="C "/>
    <n v="14.818"/>
    <s v="RV"/>
    <n v="251124.06191240353"/>
    <n v="1975"/>
    <s v="VS"/>
    <n v="6.1"/>
    <n v="1"/>
    <n v="11.67066921107164"/>
    <n v="21.488883734719522"/>
    <n v="2018"/>
    <n v="15562"/>
    <n v="57.157253504955285"/>
    <x v="0"/>
  </r>
  <r>
    <s v="B2"/>
    <s v="MAJ "/>
    <s v="231B"/>
    <s v="C "/>
    <n v="23.774000000000001"/>
    <s v="RV"/>
    <n v="4463535.7898894809"/>
    <n v="1978"/>
    <s v="VF"/>
    <n v="36.6"/>
    <n v="4"/>
    <n v="251.22812754341305"/>
    <n v="16.919171264706787"/>
    <n v="2018"/>
    <n v="8773"/>
    <n v="60.464752220482602"/>
    <x v="1"/>
  </r>
  <r>
    <s v="B3"/>
    <s v="MAJ "/>
    <s v="150A"/>
    <s v="C "/>
    <n v="21.297999999999998"/>
    <s v="RV"/>
    <n v="1019767.4364383416"/>
    <n v="1959"/>
    <s v="PJ"/>
    <n v="18.899999999999999"/>
    <n v="3"/>
    <n v="83.83034506957496"/>
    <n v="11.835840971436529"/>
    <n v="2019"/>
    <n v="2277"/>
    <n v="49.810348333775032"/>
    <x v="2"/>
  </r>
  <r>
    <s v="B4"/>
    <s v="MAJ "/>
    <s v="135F"/>
    <s v="C "/>
    <n v="41.786999999999999"/>
    <s v=" "/>
    <n v="670009.48873344739"/>
    <n v="1992"/>
    <s v="SCC"/>
    <n v="12"/>
    <n v="3"/>
    <n v="51.404896404317199"/>
    <n v="12.470935571330523"/>
    <n v="2017"/>
    <n v="7101"/>
    <n v="53.789833487712905"/>
    <x v="3"/>
  </r>
  <r>
    <s v="B5"/>
    <s v="MAJ "/>
    <s v="132B"/>
    <s v="C "/>
    <n v="11.901"/>
    <s v="RO"/>
    <n v="1282952.8879425246"/>
    <n v="1958"/>
    <s v="CT"/>
    <n v="23.8"/>
    <n v="3"/>
    <n v="58.376076312648181"/>
    <n v="20.657970783618357"/>
    <n v="2018"/>
    <n v="1840"/>
    <n v="59.403294955240007"/>
    <x v="4"/>
  </r>
  <r>
    <s v="B6"/>
    <s v="MAJ "/>
    <s v="150B"/>
    <s v="C "/>
    <n v="27.285"/>
    <s v="RV"/>
    <n v="1189593.3485300427"/>
    <n v="1960"/>
    <s v="SCC"/>
    <n v="12"/>
    <n v="3"/>
    <n v="57.206124806734522"/>
    <n v="18.940724820987079"/>
    <n v="2021"/>
    <n v="3525"/>
    <n v="52.741352891052543"/>
    <x v="5"/>
  </r>
  <r>
    <s v="B7"/>
    <s v="MAJ "/>
    <s v="6A"/>
    <s v="C "/>
    <n v="2.83"/>
    <s v=" "/>
    <n v="1670412.8036958587"/>
    <n v="1962"/>
    <s v="RB"/>
    <n v="26.5"/>
    <n v="2"/>
    <n v="100.08348038040221"/>
    <n v="14.789270346281661"/>
    <n v="2019"/>
    <n v="19965"/>
    <n v="47.328337058046579"/>
    <x v="6"/>
  </r>
  <r>
    <s v="B8"/>
    <s v="MAJ "/>
    <s v="75A"/>
    <s v="R "/>
    <n v="1.113"/>
    <s v=" "/>
    <n v="4549103.597241817"/>
    <n v="1978"/>
    <s v="FC"/>
    <n v="33.5"/>
    <n v="4"/>
    <n v="237.68289695302366"/>
    <n v="16.699356979198576"/>
    <n v="2019"/>
    <n v="12643"/>
    <n v="46.629132491099625"/>
    <x v="1"/>
  </r>
  <r>
    <s v="B9"/>
    <s v="MAJ "/>
    <s v="75A"/>
    <s v="L "/>
    <n v="1.1160000000000001"/>
    <s v="RV"/>
    <n v="4043723.6028631856"/>
    <n v="2000"/>
    <s v="DBC"/>
    <n v="36"/>
    <n v="4"/>
    <n v="192.19568014145511"/>
    <n v="18.904551629944571"/>
    <n v="2021"/>
    <n v="6516"/>
    <n v="49.972463756533443"/>
    <x v="7"/>
  </r>
  <r>
    <s v="B10"/>
    <s v="MAJ "/>
    <s v="9A"/>
    <s v="C "/>
    <n v="1.476"/>
    <s v=" "/>
    <n v="3478925.460657056"/>
    <n v="1959"/>
    <s v="CT"/>
    <n v="37.799999999999997"/>
    <n v="5"/>
    <n v="222.32176123008821"/>
    <n v="14.715282844925081"/>
    <n v="2021"/>
    <n v="7778"/>
    <n v="62.440325720777942"/>
    <x v="2"/>
  </r>
  <r>
    <s v="B11"/>
    <s v="MAJ "/>
    <s v="138C"/>
    <s v="C "/>
    <n v="32.829000000000001"/>
    <s v=" "/>
    <n v="352391.52350210596"/>
    <n v="1996"/>
    <s v="SCC"/>
    <n v="14"/>
    <n v="1"/>
    <n v="16.832756558206228"/>
    <n v="20.277462192094525"/>
    <n v="2017"/>
    <n v="11325"/>
    <n v="51.683716299720238"/>
    <x v="8"/>
  </r>
  <r>
    <s v="B12"/>
    <s v="MAJ "/>
    <s v="102C"/>
    <s v="C "/>
    <n v="10.519"/>
    <s v="RV"/>
    <n v="5511985.4767215485"/>
    <n v="1983"/>
    <s v="WG"/>
    <n v="56.4"/>
    <n v="4"/>
    <n v="247.16195402695811"/>
    <n v="21.920796703598633"/>
    <n v="2021"/>
    <n v="9749"/>
    <n v="43.939139963803562"/>
    <x v="9"/>
  </r>
  <r>
    <s v="B13"/>
    <s v="STD "/>
    <s v="3A"/>
    <s v="C "/>
    <n v="7.048"/>
    <s v=" "/>
    <n v="802148.87788631732"/>
    <n v="1981"/>
    <s v="VSO"/>
    <n v="8.5"/>
    <n v="4"/>
    <n v="51.853519176691343"/>
    <n v="13.954876271232271"/>
    <n v="2021"/>
    <n v="16130"/>
    <n v="55.020170171745406"/>
    <x v="10"/>
  </r>
  <r>
    <s v="B14"/>
    <s v="MAJ "/>
    <s v="132D"/>
    <s v="C "/>
    <n v="33.5"/>
    <s v=" "/>
    <n v="2857194.493205219"/>
    <n v="1904"/>
    <s v="PO"/>
    <n v="41.5"/>
    <n v="5"/>
    <n v="319.07680372587504"/>
    <n v="8.6370149064671509"/>
    <n v="2020"/>
    <n v="5048"/>
    <n v="54.021752331167214"/>
    <x v="11"/>
  </r>
  <r>
    <s v="B15"/>
    <s v="MAJ "/>
    <s v="102B"/>
    <s v="C "/>
    <n v="1.1519999999999999"/>
    <s v="RV"/>
    <n v="1146988.4068193901"/>
    <n v="1956"/>
    <s v="CT"/>
    <n v="24.4"/>
    <n v="3"/>
    <n v="112.50401489745974"/>
    <n v="9.3099227183538069"/>
    <n v="2021"/>
    <n v="9772"/>
    <n v="57.618542608270708"/>
    <x v="12"/>
  </r>
  <r>
    <s v="B16"/>
    <s v="MAJ "/>
    <s v="135B"/>
    <s v="C "/>
    <n v="1.4999999999999999E-2"/>
    <s v=" "/>
    <n v="1786568.9542627223"/>
    <n v="1960"/>
    <s v="PO"/>
    <n v="29"/>
    <n v="4"/>
    <n v="120.17178417421088"/>
    <n v="13.504347150109094"/>
    <n v="2020"/>
    <n v="6628"/>
    <n v="42.933718342058036"/>
    <x v="5"/>
  </r>
  <r>
    <s v="B17"/>
    <s v="MAJ "/>
    <s v="132B"/>
    <s v="C "/>
    <n v="26.451000000000001"/>
    <s v="RV"/>
    <n v="1684041.0413914879"/>
    <n v="1963"/>
    <s v="PO"/>
    <n v="25.9"/>
    <n v="2"/>
    <n v="91.729318074843064"/>
    <n v="16.078839511543844"/>
    <n v="2017"/>
    <n v="1923"/>
    <n v="55.144634962180135"/>
    <x v="13"/>
  </r>
  <r>
    <s v="B18"/>
    <s v="MAJ "/>
    <s v="231A"/>
    <s v="C "/>
    <n v="24.443999999999999"/>
    <s v="RV"/>
    <n v="689996.81518236233"/>
    <n v="1996"/>
    <s v="SCC"/>
    <n v="12"/>
    <n v="3"/>
    <n v="42.016513506110186"/>
    <n v="16.045810559088345"/>
    <n v="2021"/>
    <n v="3970"/>
    <n v="48.683125155698768"/>
    <x v="8"/>
  </r>
  <r>
    <s v="B19"/>
    <s v="MAJ "/>
    <s v="135C"/>
    <s v="C "/>
    <n v="37.826999999999998"/>
    <s v=" "/>
    <n v="2796556.153220111"/>
    <n v="1966"/>
    <s v="CS,PO"/>
    <n v="26.8"/>
    <n v="5"/>
    <n v="186.87176047010547"/>
    <n v="14.457405472032102"/>
    <n v="2021"/>
    <n v="11230"/>
    <n v="61.55587260603405"/>
    <x v="14"/>
  </r>
  <r>
    <s v="B20"/>
    <s v="STD "/>
    <s v="237D"/>
    <s v="C "/>
    <n v="17.350999999999999"/>
    <s v="RV"/>
    <n v="132489.09843738575"/>
    <n v="1993"/>
    <s v="SM"/>
    <n v="6"/>
    <n v="1"/>
    <n v="8.7998387930865718"/>
    <n v="13.471621177097791"/>
    <n v="2019"/>
    <n v="7557"/>
    <n v="44.239632696445916"/>
    <x v="15"/>
  </r>
  <r>
    <s v="B21"/>
    <s v="MAJ "/>
    <s v="150C"/>
    <s v="C "/>
    <n v="12.084"/>
    <s v="RV"/>
    <n v="832057.73114503641"/>
    <n v="1979"/>
    <s v="PM"/>
    <n v="16.8"/>
    <n v="3"/>
    <n v="65.492900646833604"/>
    <n v="10.791886286965916"/>
    <n v="2019"/>
    <n v="1104"/>
    <n v="49.934557118921894"/>
    <x v="16"/>
  </r>
  <r>
    <s v="B22"/>
    <s v="STD "/>
    <s v="6A"/>
    <s v="C "/>
    <n v="3.5870000000000002"/>
    <s v="RV"/>
    <n v="842900.82901747467"/>
    <n v="1994"/>
    <s v="SM"/>
    <n v="8.5"/>
    <n v="3"/>
    <n v="48.610820406565452"/>
    <n v="15.768949899351082"/>
    <n v="2017"/>
    <n v="1098"/>
    <n v="49.639873312767314"/>
    <x v="17"/>
  </r>
  <r>
    <s v="B23"/>
    <s v="STD "/>
    <s v="135C"/>
    <s v="C "/>
    <n v="12.398999999999999"/>
    <s v="SP"/>
    <n v="435772.74309782957"/>
    <n v="1974"/>
    <s v="HC"/>
    <n v="8.5"/>
    <n v="3"/>
    <n v="27.84372926792572"/>
    <n v="15.470679280880953"/>
    <n v="2019"/>
    <n v="7095"/>
    <n v="63.674495684313946"/>
    <x v="18"/>
  </r>
  <r>
    <s v="B24"/>
    <s v="MAJ "/>
    <s v="150A"/>
    <s v="C "/>
    <n v="1.9770000000000001"/>
    <s v=" "/>
    <n v="2859857.6006403971"/>
    <n v="1970"/>
    <s v="PO"/>
    <n v="30.5"/>
    <n v="4"/>
    <n v="214.12840752514947"/>
    <n v="13.054156866835967"/>
    <n v="2017"/>
    <n v="16521"/>
    <n v="52.955878647833224"/>
    <x v="19"/>
  </r>
  <r>
    <s v="B25"/>
    <s v="MAJ "/>
    <s v="138C"/>
    <s v="C "/>
    <n v="11.715"/>
    <s v=" "/>
    <n v="1678195.1353252209"/>
    <n v="1998"/>
    <s v="SCC"/>
    <n v="12.6"/>
    <n v="3"/>
    <n v="56.689945054940026"/>
    <n v="25.050852749884086"/>
    <n v="2019"/>
    <n v="8037"/>
    <n v="53.685811540686153"/>
    <x v="20"/>
  </r>
  <r>
    <s v="B26"/>
    <s v="MAJ "/>
    <s v="135E"/>
    <s v="C "/>
    <n v="1.516"/>
    <s v="RV"/>
    <n v="761346.12139838212"/>
    <n v="1974"/>
    <s v="PE,PM"/>
    <n v="15.2"/>
    <n v="3"/>
    <n v="59.392316497314042"/>
    <n v="12.722577260722939"/>
    <n v="2017"/>
    <n v="16827"/>
    <n v="54.389429061968222"/>
    <x v="18"/>
  </r>
  <r>
    <s v="B27"/>
    <s v="MAJ "/>
    <s v="93A"/>
    <s v="C "/>
    <n v="16.010999999999999"/>
    <s v=" "/>
    <n v="2387218.7811095775"/>
    <n v="1969"/>
    <s v="FC"/>
    <n v="27.4"/>
    <n v="3"/>
    <n v="133.67393662544885"/>
    <n v="17.267342958095995"/>
    <n v="2021"/>
    <n v="3755"/>
    <n v="55.111976803492617"/>
    <x v="21"/>
  </r>
  <r>
    <s v="B28"/>
    <s v="MAJ "/>
    <s v="231B"/>
    <s v="C "/>
    <n v="12.897"/>
    <s v="RV"/>
    <n v="1339916.9429461097"/>
    <n v="1969"/>
    <s v="PO"/>
    <n v="24.4"/>
    <n v="3"/>
    <n v="119.58678046304838"/>
    <n v="11.097089452192121"/>
    <n v="2017"/>
    <n v="3034"/>
    <n v="51.785889684963479"/>
    <x v="21"/>
  </r>
  <r>
    <s v="B29"/>
    <s v="MAJ "/>
    <s v="135D"/>
    <s v="C "/>
    <n v="18.64"/>
    <s v=" "/>
    <n v="1138863.9217678781"/>
    <n v="1967"/>
    <s v="CX"/>
    <n v="21.3"/>
    <n v="3"/>
    <n v="85.167685738140449"/>
    <n v="11.393140584294535"/>
    <n v="2018"/>
    <n v="4489"/>
    <n v="53.239453682044022"/>
    <x v="22"/>
  </r>
  <r>
    <s v="B30"/>
    <s v="MAJ "/>
    <s v="132B"/>
    <s v="C "/>
    <n v="12.218999999999999"/>
    <s v="RV"/>
    <n v="1438079.524160655"/>
    <n v="1956"/>
    <s v="PO"/>
    <n v="27.4"/>
    <n v="3"/>
    <n v="84.819029600665019"/>
    <n v="14.192253320839027"/>
    <n v="2020"/>
    <n v="19134"/>
    <n v="50.196178807341347"/>
    <x v="12"/>
  </r>
  <r>
    <s v="B31"/>
    <s v="MAJ "/>
    <s v="96C"/>
    <s v="C "/>
    <n v="1.5389999999999999"/>
    <s v=" "/>
    <n v="3913923.3155466379"/>
    <n v="1968"/>
    <s v="RB"/>
    <n v="34.4"/>
    <n v="5"/>
    <n v="203.34497120582591"/>
    <n v="17.956317364599204"/>
    <n v="2017"/>
    <n v="10188"/>
    <n v="52.864471609174494"/>
    <x v="23"/>
  </r>
  <r>
    <s v="B32"/>
    <s v="STD "/>
    <s v="78C"/>
    <s v="R "/>
    <n v="23.52"/>
    <s v="IC"/>
    <n v="1285477.1251813972"/>
    <n v="1968"/>
    <s v="HC"/>
    <n v="6.1"/>
    <n v="6"/>
    <n v="48.823638182174093"/>
    <n v="25.608833477134141"/>
    <n v="2021"/>
    <n v="13004"/>
    <n v="60.505285614609782"/>
    <x v="23"/>
  </r>
  <r>
    <s v="B33"/>
    <s v="MAJ "/>
    <s v="78C"/>
    <s v="L "/>
    <n v="23.524999999999999"/>
    <s v="IC"/>
    <n v="1077559.8338131174"/>
    <n v="1997"/>
    <s v="SCC"/>
    <n v="13"/>
    <n v="3"/>
    <n v="47.242770985827846"/>
    <n v="20.9206350008199"/>
    <n v="2018"/>
    <n v="17851"/>
    <n v="49.599720380355961"/>
    <x v="24"/>
  </r>
  <r>
    <s v="B34"/>
    <s v="MAJ "/>
    <s v="72D"/>
    <s v="R "/>
    <n v="52.792999999999999"/>
    <s v=" "/>
    <n v="1532277.4565797048"/>
    <n v="1991"/>
    <s v="DBT"/>
    <n v="42"/>
    <n v="1"/>
    <n v="83.549668432561162"/>
    <n v="17.474538240779498"/>
    <n v="2020"/>
    <n v="17795"/>
    <n v="43.769733700053386"/>
    <x v="25"/>
  </r>
  <r>
    <s v="B35"/>
    <s v="MAJ "/>
    <s v="72D"/>
    <s v="L "/>
    <n v="52.765999999999998"/>
    <s v="RV"/>
    <n v="1011428.0283711256"/>
    <n v="1959"/>
    <s v="CT"/>
    <n v="18.3"/>
    <n v="3"/>
    <n v="52.613948496730913"/>
    <n v="17.362711620243768"/>
    <n v="2019"/>
    <n v="3395"/>
    <n v="57.402055054310495"/>
    <x v="2"/>
  </r>
  <r>
    <s v="B36"/>
    <s v="STD "/>
    <s v="135H"/>
    <s v="C "/>
    <n v="31.225000000000001"/>
    <s v="RV"/>
    <n v="949435.04611196986"/>
    <n v="1981"/>
    <s v="SM"/>
    <n v="11"/>
    <n v="3"/>
    <n v="38.575178693828867"/>
    <n v="20.763792509377513"/>
    <n v="2018"/>
    <n v="19933"/>
    <n v="56.950172492556057"/>
    <x v="10"/>
  </r>
  <r>
    <s v="B37"/>
    <s v="MAJ "/>
    <s v="102A"/>
    <s v="C "/>
    <n v="27.818000000000001"/>
    <s v="RV"/>
    <n v="743163.98973769683"/>
    <n v="1992"/>
    <s v="SMC"/>
    <n v="10"/>
    <n v="3"/>
    <n v="31.265554279826468"/>
    <n v="22.725785333467552"/>
    <n v="2020"/>
    <n v="7791"/>
    <n v="58.946512130241523"/>
    <x v="3"/>
  </r>
  <r>
    <s v="B38"/>
    <s v="MAJ "/>
    <s v="177C"/>
    <s v="C "/>
    <n v="32.35"/>
    <s v=" "/>
    <n v="3210659.7287687347"/>
    <n v="1965"/>
    <s v="PO"/>
    <n v="45.1"/>
    <n v="5"/>
    <n v="243.98164589322801"/>
    <n v="11.777025644295721"/>
    <n v="2019"/>
    <n v="8832"/>
    <n v="48.064497774957793"/>
    <x v="26"/>
  </r>
  <r>
    <s v="B39"/>
    <s v="MAJ "/>
    <s v="231A"/>
    <s v="C "/>
    <n v="0.13400000000000001"/>
    <s v=" "/>
    <n v="1848888.7166578437"/>
    <n v="1973"/>
    <s v="FC"/>
    <n v="33.5"/>
    <n v="3"/>
    <n v="133.95462900899943"/>
    <n v="11.603092531510153"/>
    <n v="2018"/>
    <n v="3032"/>
    <n v="51.03306008591958"/>
    <x v="27"/>
  </r>
  <r>
    <s v="B40"/>
    <s v="MAJ "/>
    <s v="285A"/>
    <s v="C "/>
    <n v="21.931999999999999"/>
    <s v=" "/>
    <n v="1408566.2799091632"/>
    <n v="1995"/>
    <s v="SCC"/>
    <n v="12.6"/>
    <n v="3"/>
    <n v="61.887020393305257"/>
    <n v="19.05923698160062"/>
    <n v="2020"/>
    <n v="6306"/>
    <n v="51.627620092428572"/>
    <x v="28"/>
  </r>
  <r>
    <s v="B41"/>
    <s v="MAJ "/>
    <s v="141B"/>
    <s v="C "/>
    <n v="0.121"/>
    <s v=" "/>
    <n v="3494368.340997051"/>
    <n v="1976"/>
    <s v="LF"/>
    <n v="38.1"/>
    <n v="5"/>
    <n v="226.20380895988083"/>
    <n v="15.000349843920862"/>
    <n v="2020"/>
    <n v="18291"/>
    <n v="57.157715743361713"/>
    <x v="29"/>
  </r>
  <r>
    <s v="B42"/>
    <s v="MAJ "/>
    <s v="78A"/>
    <s v="C "/>
    <n v="11.853999999999999"/>
    <s v=" "/>
    <n v="1092483.7047900539"/>
    <n v="1960"/>
    <s v="RB"/>
    <n v="19.5"/>
    <n v="3"/>
    <n v="68.974564109060537"/>
    <n v="13.694317153029349"/>
    <n v="2019"/>
    <n v="19556"/>
    <n v="49.540670509718893"/>
    <x v="5"/>
  </r>
  <r>
    <s v="B43"/>
    <s v="STD "/>
    <s v="195A"/>
    <s v="C "/>
    <n v="1.1890000000000001"/>
    <s v=" "/>
    <n v="301815.57454487908"/>
    <n v="1990"/>
    <s v="SM"/>
    <n v="6"/>
    <n v="2"/>
    <n v="21.104276396479076"/>
    <n v="12.700299879772752"/>
    <n v="2021"/>
    <n v="14659"/>
    <n v="48.160215057266349"/>
    <x v="30"/>
  </r>
  <r>
    <s v="B44"/>
    <s v="STD "/>
    <s v="96D"/>
    <s v="C "/>
    <n v="10.663"/>
    <s v="RV"/>
    <n v="434100.40025795891"/>
    <n v="1985"/>
    <s v="VS"/>
    <n v="10.7"/>
    <n v="1"/>
    <n v="19.235241740146556"/>
    <n v="21.083050604493607"/>
    <n v="2020"/>
    <n v="16714"/>
    <n v="52.599868385944056"/>
    <x v="31"/>
  </r>
  <r>
    <s v="B45"/>
    <s v="MAJ "/>
    <s v="99A"/>
    <s v="C "/>
    <n v="6.8840000000000003"/>
    <s v="RV"/>
    <n v="1022061.1378891171"/>
    <n v="1956"/>
    <s v="RB"/>
    <n v="18.3"/>
    <n v="3"/>
    <n v="80.853275913925685"/>
    <n v="11.519139153828295"/>
    <n v="2018"/>
    <n v="9556"/>
    <n v="50.955760809584369"/>
    <x v="12"/>
  </r>
  <r>
    <s v="B46"/>
    <s v="MAJ "/>
    <s v="141A"/>
    <s v="C "/>
    <n v="18.36"/>
    <s v=" "/>
    <n v="664996.11364590842"/>
    <n v="1997"/>
    <s v="SCC"/>
    <n v="12"/>
    <n v="3"/>
    <n v="45.353968076922726"/>
    <n v="12.983442938224576"/>
    <n v="2021"/>
    <n v="8261"/>
    <n v="60.643467706526678"/>
    <x v="24"/>
  </r>
  <r>
    <s v="B47"/>
    <s v="MAJ "/>
    <s v="132A"/>
    <s v="C "/>
    <n v="31.491"/>
    <s v="RV"/>
    <n v="1112763.5374166912"/>
    <n v="1963"/>
    <s v="PE"/>
    <n v="12.8"/>
    <n v="3"/>
    <n v="47.126469348785214"/>
    <n v="20.430273113604898"/>
    <n v="2018"/>
    <n v="16717"/>
    <n v="64.635912457217316"/>
    <x v="13"/>
  </r>
  <r>
    <s v="B48"/>
    <s v="MAJ "/>
    <s v="75B"/>
    <s v="R "/>
    <n v="46.786000000000001"/>
    <s v="RV"/>
    <n v="973663.5554495008"/>
    <n v="1958"/>
    <s v="CT"/>
    <n v="16.5"/>
    <n v="3"/>
    <n v="51.664025875195364"/>
    <n v="17.50063965666639"/>
    <n v="2018"/>
    <n v="2936"/>
    <n v="42.845222984962483"/>
    <x v="4"/>
  </r>
  <r>
    <s v="B49"/>
    <s v="MAJ "/>
    <s v="75B"/>
    <s v="L "/>
    <n v="46.713999999999999"/>
    <s v="RV"/>
    <n v="954436.43477597937"/>
    <n v="1961"/>
    <s v="CT"/>
    <n v="16.5"/>
    <n v="3"/>
    <n v="41.413757851272635"/>
    <n v="21.597701709373222"/>
    <n v="2020"/>
    <n v="4815"/>
    <n v="60.243518357941014"/>
    <x v="32"/>
  </r>
  <r>
    <s v="B50"/>
    <s v="MAJ "/>
    <s v="150C"/>
    <s v="C "/>
    <n v="23.975000000000001"/>
    <s v="RV"/>
    <n v="4268943.3480182718"/>
    <n v="1966"/>
    <s v="RB,TH"/>
    <n v="61"/>
    <n v="4"/>
    <n v="305.89812028294756"/>
    <n v="13.707184206006017"/>
    <n v="2018"/>
    <n v="15596"/>
    <n v="62.998433175285619"/>
    <x v="14"/>
  </r>
  <r>
    <s v="B51"/>
    <s v="STD "/>
    <s v="237A"/>
    <s v="C "/>
    <n v="35.895000000000003"/>
    <s v="RV"/>
    <n v="149551.38236146318"/>
    <n v="1977"/>
    <s v="HC"/>
    <n v="8.5"/>
    <n v="1"/>
    <n v="8.8324197330300702"/>
    <n v="14.503879178186173"/>
    <n v="2021"/>
    <n v="4567"/>
    <n v="55.792523094773436"/>
    <x v="33"/>
  </r>
  <r>
    <s v="B52"/>
    <s v="MAJ "/>
    <s v="135D"/>
    <s v="C "/>
    <n v="32.604999999999997"/>
    <s v=" "/>
    <n v="1092158.896363097"/>
    <n v="1955"/>
    <s v="CT"/>
    <n v="18.3"/>
    <n v="3"/>
    <n v="85.678900472835039"/>
    <n v="12.191166365333428"/>
    <n v="2019"/>
    <n v="1923"/>
    <n v="49.337805605186041"/>
    <x v="34"/>
  </r>
  <r>
    <s v="B53"/>
    <s v="MAJ "/>
    <s v="177A"/>
    <s v="C "/>
    <n v="53.98"/>
    <s v=" "/>
    <n v="8418119.6057451442"/>
    <n v="1960"/>
    <s v="CT"/>
    <n v="35.1"/>
    <n v="8"/>
    <n v="478.52495009516002"/>
    <n v="15.789708822632564"/>
    <n v="2021"/>
    <n v="5843"/>
    <n v="50.150421113369276"/>
    <x v="5"/>
  </r>
  <r>
    <s v="B54"/>
    <s v="MAJ "/>
    <s v="135E"/>
    <s v="C "/>
    <n v="34.704999999999998"/>
    <s v="RV"/>
    <n v="3620732.1461146777"/>
    <n v="1993"/>
    <s v="WG"/>
    <n v="40"/>
    <n v="2"/>
    <n v="154.00772112036836"/>
    <n v="22.448278675830959"/>
    <n v="2021"/>
    <n v="6386"/>
    <n v="57.849048731677549"/>
    <x v="15"/>
  </r>
  <r>
    <s v="B55"/>
    <s v="MAJ "/>
    <s v="135I"/>
    <s v="C "/>
    <n v="17.803999999999998"/>
    <s v="RV"/>
    <n v="2383109.6166073503"/>
    <n v="1929"/>
    <s v="FC"/>
    <n v="32"/>
    <n v="4"/>
    <n v="203.69165512778449"/>
    <n v="11.241129179430015"/>
    <n v="2020"/>
    <n v="11731"/>
    <n v="49.99434970652765"/>
    <x v="35"/>
  </r>
  <r>
    <s v="B56"/>
    <s v="MAJ "/>
    <s v="132A"/>
    <s v="C "/>
    <n v="15.113"/>
    <s v="RO"/>
    <n v="2405950.7048417535"/>
    <n v="1972"/>
    <s v="PM"/>
    <n v="16.8"/>
    <n v="5"/>
    <n v="109.02817430927645"/>
    <n v="21.312408968039005"/>
    <n v="2021"/>
    <n v="13958"/>
    <n v="54.574022429395647"/>
    <x v="36"/>
  </r>
  <r>
    <s v="B57"/>
    <s v="MAJ "/>
    <s v="135B"/>
    <s v="C "/>
    <n v="46.628"/>
    <s v="RV"/>
    <n v="1054914.2202553186"/>
    <n v="1979"/>
    <s v="PM"/>
    <n v="15.2"/>
    <n v="3"/>
    <n v="80.498377581122043"/>
    <n v="11.032897160124568"/>
    <n v="2020"/>
    <n v="9588"/>
    <n v="50.23910135098442"/>
    <x v="16"/>
  </r>
  <r>
    <s v="B58"/>
    <s v="STD "/>
    <s v="96D"/>
    <s v="C "/>
    <n v="42.125999999999998"/>
    <s v="RV"/>
    <n v="662394.45386904373"/>
    <n v="1977"/>
    <s v="VS"/>
    <n v="7.9"/>
    <n v="3"/>
    <n v="36.77889404310578"/>
    <n v="16.423234993600801"/>
    <n v="2021"/>
    <n v="3116"/>
    <n v="57.357367177327006"/>
    <x v="33"/>
  </r>
  <r>
    <s v="B59"/>
    <s v="MAJ "/>
    <s v="99A"/>
    <s v="C "/>
    <n v="14.917"/>
    <s v="RV"/>
    <n v="1185958.4289431041"/>
    <n v="1996"/>
    <s v="SCC"/>
    <n v="11"/>
    <n v="3"/>
    <n v="46.148862403754812"/>
    <n v="23.766474907895919"/>
    <n v="2020"/>
    <n v="15435"/>
    <n v="46.012034305554181"/>
    <x v="8"/>
  </r>
  <r>
    <s v="B60"/>
    <s v="MAJ "/>
    <s v="75A"/>
    <s v="R "/>
    <n v="11.308999999999999"/>
    <s v=" "/>
    <n v="2534100.4665735401"/>
    <n v="1997"/>
    <s v="CBC"/>
    <n v="30"/>
    <n v="3"/>
    <n v="122.72260004726809"/>
    <n v="19.629314903675219"/>
    <n v="2019"/>
    <n v="3691"/>
    <n v="40.913216236726221"/>
    <x v="24"/>
  </r>
  <r>
    <s v="B61"/>
    <s v="MAJ "/>
    <s v="75A"/>
    <s v="L "/>
    <n v="11.606999999999999"/>
    <s v="RV"/>
    <n v="3022218.3832057808"/>
    <n v="1963"/>
    <s v="CT"/>
    <n v="33.5"/>
    <n v="3"/>
    <n v="164.21901601839375"/>
    <n v="16.178031503321797"/>
    <n v="2019"/>
    <n v="8995"/>
    <n v="57.022926410072834"/>
    <x v="13"/>
  </r>
  <r>
    <s v="B62"/>
    <s v="MAJ "/>
    <s v="75A"/>
    <s v="R "/>
    <n v="11.708"/>
    <s v=" "/>
    <n v="1072329.1732316932"/>
    <n v="1991"/>
    <s v="CBC"/>
    <n v="23"/>
    <n v="2"/>
    <n v="64.885654993694445"/>
    <n v="15.375536377356005"/>
    <n v="2021"/>
    <n v="2359"/>
    <n v="47.19460318400737"/>
    <x v="25"/>
  </r>
  <r>
    <s v="B63"/>
    <s v="MAJ "/>
    <s v="75A"/>
    <s v="L "/>
    <n v="12.051"/>
    <s v="IC"/>
    <n v="914613.98599370837"/>
    <n v="1958"/>
    <s v="PJ"/>
    <n v="18.3"/>
    <n v="2"/>
    <n v="44.025481842813193"/>
    <n v="17.994509595854574"/>
    <n v="2017"/>
    <n v="12890"/>
    <n v="50.113263584891577"/>
    <x v="4"/>
  </r>
  <r>
    <s v="B64"/>
    <s v="MAJ "/>
    <s v="75B"/>
    <s v="R "/>
    <n v="27.173999999999999"/>
    <s v="RV"/>
    <n v="401052.92224085267"/>
    <n v="1958"/>
    <s v="PO"/>
    <n v="26.5"/>
    <n v="1"/>
    <n v="28.163237218195626"/>
    <n v="12.055912614273392"/>
    <n v="2021"/>
    <n v="10563"/>
    <n v="54.018687111509742"/>
    <x v="4"/>
  </r>
  <r>
    <s v="B65"/>
    <s v="MAJ "/>
    <s v="75B"/>
    <s v="L "/>
    <n v="27.091999999999999"/>
    <s v="RV"/>
    <n v="939676.94248057855"/>
    <n v="1961"/>
    <s v="PO"/>
    <n v="26.5"/>
    <n v="1"/>
    <n v="49.138141997980341"/>
    <n v="16.004273279745362"/>
    <n v="2019"/>
    <n v="4399"/>
    <n v="60.675077400975432"/>
    <x v="32"/>
  </r>
  <r>
    <s v="B66"/>
    <s v="MAJ "/>
    <s v="6G"/>
    <s v="C "/>
    <n v="21.39"/>
    <s v=" "/>
    <n v="596781.07998104359"/>
    <n v="1999"/>
    <s v="SCC"/>
    <n v="14"/>
    <n v="1"/>
    <n v="27.591964381234259"/>
    <n v="20.567286523321648"/>
    <n v="2021"/>
    <n v="9857"/>
    <n v="54.452179581741973"/>
    <x v="37"/>
  </r>
  <r>
    <s v="B67"/>
    <s v="STD "/>
    <s v="6G"/>
    <s v="C "/>
    <n v="10.91"/>
    <s v="RV"/>
    <n v="142348.20676542699"/>
    <n v="1980"/>
    <s v="HC"/>
    <n v="8.5"/>
    <n v="1"/>
    <n v="15.818030394315493"/>
    <n v="8.5101435016957225"/>
    <n v="2020"/>
    <n v="12626"/>
    <n v="43.639829347735059"/>
    <x v="38"/>
  </r>
  <r>
    <s v="B68"/>
    <s v="MAJ "/>
    <s v="102A"/>
    <s v="C "/>
    <n v="10.489000000000001"/>
    <s v="RO"/>
    <n v="2123311.0902072126"/>
    <n v="1979"/>
    <s v="RD"/>
    <n v="15.2"/>
    <n v="3"/>
    <n v="88.863378654727356"/>
    <n v="22.646980761800524"/>
    <n v="2019"/>
    <n v="7507"/>
    <n v="49.233245637487983"/>
    <x v="16"/>
  </r>
  <r>
    <s v="B69"/>
    <s v="STD "/>
    <s v="6G"/>
    <s v="C "/>
    <n v="4.0709999999999997"/>
    <s v="RV"/>
    <n v="50275.301704729834"/>
    <n v="1938"/>
    <s v="TP"/>
    <n v="2.9"/>
    <n v="1"/>
    <n v="5.5741314437233394"/>
    <n v="7.6656477208357234"/>
    <n v="2020"/>
    <n v="11882"/>
    <n v="51.582043192663036"/>
    <x v="39"/>
  </r>
  <r>
    <s v="B70"/>
    <s v="STD "/>
    <s v="6G"/>
    <s v="C "/>
    <n v="1.377"/>
    <s v="SP"/>
    <n v="61579.453662451138"/>
    <n v="1940"/>
    <s v="TP"/>
    <n v="3"/>
    <n v="1"/>
    <n v="4.8004264444966083"/>
    <n v="10.98289382405793"/>
    <n v="2019"/>
    <n v="4425"/>
    <n v="57.03202688375017"/>
    <x v="40"/>
  </r>
  <r>
    <s v="B71"/>
    <s v="STD "/>
    <s v="72C"/>
    <s v="L "/>
    <n v="26.538"/>
    <s v="IC"/>
    <n v="386055.72817270464"/>
    <n v="1979"/>
    <s v="VS"/>
    <n v="10.7"/>
    <n v="1"/>
    <n v="16.750838664223032"/>
    <n v="21.440740032202335"/>
    <n v="2019"/>
    <n v="10823"/>
    <n v="47.614735450087352"/>
    <x v="16"/>
  </r>
  <r>
    <s v="B72"/>
    <s v="MAJ "/>
    <s v="99A"/>
    <s v="C "/>
    <n v="21.666"/>
    <s v=" "/>
    <n v="4655101.9920829823"/>
    <n v="1980"/>
    <s v="WG"/>
    <n v="66"/>
    <n v="3"/>
    <n v="309.39463405384117"/>
    <n v="13.196595687496197"/>
    <n v="2020"/>
    <n v="13802"/>
    <n v="50.054946093946391"/>
    <x v="38"/>
  </r>
  <r>
    <s v="B73"/>
    <s v="MAJ "/>
    <s v="99A"/>
    <s v="C "/>
    <n v="10.317"/>
    <s v="RV"/>
    <n v="4800541.8277066629"/>
    <n v="1974"/>
    <s v="VF"/>
    <n v="33.5"/>
    <n v="5"/>
    <n v="290.07644194707575"/>
    <n v="16.511666473771022"/>
    <n v="2017"/>
    <n v="16226"/>
    <n v="46.717370100374957"/>
    <x v="18"/>
  </r>
  <r>
    <s v="B74"/>
    <s v="MAJ "/>
    <s v="135C"/>
    <s v="C "/>
    <n v="21.957999999999998"/>
    <s v=" "/>
    <n v="733076.67507324705"/>
    <n v="1983"/>
    <s v="DBT"/>
    <n v="32"/>
    <n v="1"/>
    <n v="50.826322175405025"/>
    <n v="13.133881142638812"/>
    <n v="2017"/>
    <n v="16738"/>
    <n v="52.985005656163075"/>
    <x v="9"/>
  </r>
  <r>
    <s v="B75"/>
    <s v="MAJ "/>
    <s v="138B"/>
    <s v="C "/>
    <n v="0"/>
    <s v="RV"/>
    <n v="1036414.0953848937"/>
    <n v="1989"/>
    <s v="DBT"/>
    <n v="42"/>
    <n v="1"/>
    <n v="46.382379326734487"/>
    <n v="20.817090042122256"/>
    <n v="2017"/>
    <n v="8760"/>
    <n v="46.595459533213848"/>
    <x v="41"/>
  </r>
  <r>
    <s v="B76"/>
    <s v="MAJ "/>
    <s v="96A"/>
    <s v="C "/>
    <n v="39.796999999999997"/>
    <s v="RV"/>
    <n v="635563.95165201311"/>
    <n v="1953"/>
    <s v="TT,RB"/>
    <n v="15.2"/>
    <n v="3"/>
    <n v="54.783010708419084"/>
    <n v="11.582193029745609"/>
    <n v="2017"/>
    <n v="7582"/>
    <n v="50.33341752709228"/>
    <x v="42"/>
  </r>
  <r>
    <s v="B77"/>
    <s v="STD "/>
    <s v="72E"/>
    <s v="R "/>
    <n v="39.83"/>
    <s v="IC"/>
    <n v="1140158.3488769343"/>
    <n v="1981"/>
    <s v="VS"/>
    <n v="10.7"/>
    <n v="4"/>
    <n v="56.377416418867497"/>
    <n v="18.02695959728241"/>
    <n v="2017"/>
    <n v="9422"/>
    <n v="37.405210103186732"/>
    <x v="10"/>
  </r>
  <r>
    <s v="B78"/>
    <s v="STD "/>
    <s v="135C"/>
    <s v="C "/>
    <n v="9.0779999999999994"/>
    <s v="SP"/>
    <n v="708764.45245634648"/>
    <n v="1971"/>
    <s v="HC"/>
    <n v="8.5"/>
    <n v="3"/>
    <n v="29.830807756503315"/>
    <n v="20.061735317631893"/>
    <n v="2018"/>
    <n v="13052"/>
    <n v="48.410360281679623"/>
    <x v="43"/>
  </r>
  <r>
    <s v="B79"/>
    <s v="MAJ "/>
    <s v="78C"/>
    <s v="R "/>
    <n v="28.454000000000001"/>
    <s v="IC"/>
    <n v="1733379.9034312014"/>
    <n v="1993"/>
    <s v="SCC"/>
    <n v="14"/>
    <n v="3"/>
    <n v="70.094990270699043"/>
    <n v="24.067177853967181"/>
    <n v="2020"/>
    <n v="6852"/>
    <n v="50.155847115037169"/>
    <x v="15"/>
  </r>
  <r>
    <s v="B80"/>
    <s v="MAJ "/>
    <s v="78C"/>
    <s v="L "/>
    <n v="28.431000000000001"/>
    <s v="IC"/>
    <n v="1723875.7994139662"/>
    <n v="1994"/>
    <s v="SCC"/>
    <n v="14"/>
    <n v="3"/>
    <n v="70.703494384065266"/>
    <n v="21.144158039837546"/>
    <n v="2021"/>
    <n v="14342"/>
    <n v="51.834718505815424"/>
    <x v="17"/>
  </r>
  <r>
    <s v="B81"/>
    <s v="MAJ "/>
    <s v="75C"/>
    <s v="R "/>
    <n v="17.122"/>
    <s v=" "/>
    <n v="2343783.222424122"/>
    <n v="1983"/>
    <s v="WG"/>
    <n v="38"/>
    <n v="4"/>
    <n v="142.05794490851821"/>
    <n v="13.902623490354765"/>
    <n v="2020"/>
    <n v="17235"/>
    <n v="45.071530711279259"/>
    <x v="9"/>
  </r>
  <r>
    <s v="B82"/>
    <s v="MAJ "/>
    <s v="75C"/>
    <s v="L "/>
    <n v="7.9189999999999996"/>
    <s v=" "/>
    <n v="4152547.5304502752"/>
    <n v="1994"/>
    <s v="WG"/>
    <n v="36.6"/>
    <n v="4"/>
    <n v="222.13232933960009"/>
    <n v="17.003680018177842"/>
    <n v="2021"/>
    <n v="18798"/>
    <n v="55.65264263046425"/>
    <x v="17"/>
  </r>
  <r>
    <s v="B83"/>
    <s v="MAJ "/>
    <s v="150A"/>
    <s v="C "/>
    <n v="10.769"/>
    <s v=" "/>
    <n v="1179631.8075396237"/>
    <n v="1988"/>
    <s v="DBT"/>
    <n v="28"/>
    <n v="2"/>
    <n v="59.862615181477175"/>
    <n v="19.148780705735351"/>
    <n v="2021"/>
    <n v="4959"/>
    <n v="53.870451886745876"/>
    <x v="44"/>
  </r>
  <r>
    <s v="B84"/>
    <s v="MAJ "/>
    <s v="132D"/>
    <s v="C "/>
    <n v="39.875"/>
    <s v="RU"/>
    <n v="310407.48618233349"/>
    <n v="1965"/>
    <s v="RG"/>
    <n v="15.2"/>
    <n v="3"/>
    <n v="43.400409819449706"/>
    <n v="6.195407167276203"/>
    <n v="2017"/>
    <n v="3001"/>
    <n v="41.878781822212595"/>
    <x v="26"/>
  </r>
  <r>
    <s v="B85"/>
    <s v="MAJ "/>
    <s v="105A"/>
    <s v="C "/>
    <n v="60.908999999999999"/>
    <s v=" "/>
    <n v="2410608.3017189084"/>
    <n v="1962"/>
    <s v="RB"/>
    <n v="24.4"/>
    <n v="3"/>
    <n v="82.926857789025973"/>
    <n v="25.467278595534623"/>
    <n v="2018"/>
    <n v="2299"/>
    <n v="45.594379954582145"/>
    <x v="6"/>
  </r>
  <r>
    <s v="B86"/>
    <s v="MAJ "/>
    <s v="75C"/>
    <s v="R "/>
    <n v="11.836"/>
    <s v="RV"/>
    <n v="2379421.5787225873"/>
    <n v="2003"/>
    <s v="WG"/>
    <n v="35"/>
    <n v="3"/>
    <n v="122.94444299635464"/>
    <n v="16.810909898893534"/>
    <n v="2021"/>
    <n v="15744"/>
    <n v="55.305740066155948"/>
    <x v="45"/>
  </r>
  <r>
    <s v="B87"/>
    <s v="MAJ "/>
    <s v="75C"/>
    <s v="L "/>
    <n v="2.6080000000000001"/>
    <s v="RV"/>
    <n v="3458489.6363846576"/>
    <n v="1965"/>
    <s v="CT"/>
    <n v="25"/>
    <n v="4"/>
    <n v="126.01826019061373"/>
    <n v="24.453686187163452"/>
    <n v="2019"/>
    <n v="10781"/>
    <n v="52.969238448056593"/>
    <x v="26"/>
  </r>
  <r>
    <s v="B88"/>
    <s v="STD "/>
    <s v="96B"/>
    <s v="C "/>
    <n v="15.204000000000001"/>
    <s v="SP"/>
    <n v="44744.264739635"/>
    <n v="1949"/>
    <s v="TP"/>
    <n v="1.8"/>
    <n v="1"/>
    <n v="3.4649720907004609"/>
    <n v="12.7027999203987"/>
    <n v="2017"/>
    <n v="2100"/>
    <n v="58.485850948895951"/>
    <x v="46"/>
  </r>
  <r>
    <s v="B89"/>
    <s v="STD "/>
    <s v="237D"/>
    <s v="C "/>
    <n v="15.842000000000001"/>
    <s v="RV"/>
    <n v="135373.91518228239"/>
    <n v="1996"/>
    <s v="SM"/>
    <n v="6"/>
    <n v="1"/>
    <n v="9.6072504165758303"/>
    <n v="13.656773138264459"/>
    <n v="2021"/>
    <n v="17630"/>
    <n v="53.320259346805408"/>
    <x v="8"/>
  </r>
  <r>
    <s v="B90"/>
    <s v="MAJ "/>
    <s v="177A"/>
    <s v="C "/>
    <n v="20.34"/>
    <s v="RV"/>
    <n v="2775439.0001021791"/>
    <n v="1958"/>
    <s v="CT"/>
    <n v="35.1"/>
    <n v="8"/>
    <n v="261.43042799043621"/>
    <n v="9.3560845524260312"/>
    <n v="2018"/>
    <n v="18119"/>
    <n v="60.626235752104321"/>
    <x v="4"/>
  </r>
  <r>
    <s v="B91"/>
    <s v="STD "/>
    <s v="177A"/>
    <s v="C "/>
    <n v="38.231000000000002"/>
    <s v="IC"/>
    <n v="719379.74848566833"/>
    <n v="1982"/>
    <s v="VS"/>
    <n v="9.1"/>
    <n v="3"/>
    <n v="47.248472884916779"/>
    <n v="13.708232964879684"/>
    <n v="2020"/>
    <n v="8054"/>
    <n v="43.994921184676592"/>
    <x v="47"/>
  </r>
  <r>
    <s v="B92"/>
    <s v="STD "/>
    <s v="96A"/>
    <s v="C "/>
    <n v="43.064"/>
    <s v="SP"/>
    <n v="49228.058433110418"/>
    <n v="1948"/>
    <s v="TP"/>
    <n v="2"/>
    <n v="1"/>
    <n v="2.6342788940730077"/>
    <n v="16.139593641535349"/>
    <n v="2019"/>
    <n v="6893"/>
    <n v="43.36683093293626"/>
    <x v="48"/>
  </r>
  <r>
    <s v="B93"/>
    <s v="MAJ "/>
    <s v="177B"/>
    <s v="C "/>
    <n v="38.654000000000003"/>
    <s v="RO"/>
    <n v="2600623.2398340004"/>
    <n v="1966"/>
    <s v="PO"/>
    <n v="19.8"/>
    <n v="3"/>
    <n v="111.98144712839648"/>
    <n v="19.37247091580489"/>
    <n v="2021"/>
    <n v="15603"/>
    <n v="62.106995016662495"/>
    <x v="14"/>
  </r>
  <r>
    <s v="B94"/>
    <s v="MAJ "/>
    <s v="75B"/>
    <s v="R "/>
    <n v="31.64"/>
    <s v="RO"/>
    <n v="1389660.8568810564"/>
    <n v="1961"/>
    <s v="PO"/>
    <n v="23.2"/>
    <n v="3"/>
    <n v="80.558097441778045"/>
    <n v="14.65745902336487"/>
    <n v="2017"/>
    <n v="10662"/>
    <n v="54.81652088967391"/>
    <x v="32"/>
  </r>
  <r>
    <s v="B95"/>
    <s v="MAJ "/>
    <s v="75B"/>
    <s v="L "/>
    <n v="31.6"/>
    <s v=" "/>
    <n v="1565196.7420617221"/>
    <n v="1959"/>
    <s v="PO"/>
    <n v="23.2"/>
    <n v="3"/>
    <n v="83.645022014082429"/>
    <n v="18.052494635541894"/>
    <n v="2021"/>
    <n v="7353"/>
    <n v="56.77573634498939"/>
    <x v="2"/>
  </r>
  <r>
    <s v="B96"/>
    <s v="MAJ "/>
    <s v="138C"/>
    <s v="L "/>
    <n v="0.49399999999999999"/>
    <s v="GS"/>
    <n v="5451789.8438563421"/>
    <n v="1975"/>
    <s v="FC"/>
    <n v="29"/>
    <n v="3"/>
    <n v="131.56089458468296"/>
    <n v="35.557486738563682"/>
    <n v="2020"/>
    <n v="6821"/>
    <n v="50.584711886742781"/>
    <x v="0"/>
  </r>
  <r>
    <s v="B97"/>
    <s v="MAJ "/>
    <s v="177C"/>
    <s v="C "/>
    <n v="23.417999999999999"/>
    <s v="RV"/>
    <n v="966844.53008547809"/>
    <n v="1959"/>
    <s v="CT"/>
    <n v="18.3"/>
    <n v="3"/>
    <n v="64.986878087560655"/>
    <n v="12.572255634631937"/>
    <n v="2018"/>
    <n v="8547"/>
    <n v="57.060901057744502"/>
    <x v="2"/>
  </r>
  <r>
    <s v="B98"/>
    <s v="MAJ "/>
    <s v="75G"/>
    <s v="R "/>
    <n v="25.29"/>
    <s v="GS"/>
    <n v="1508536.1697173163"/>
    <n v="1960"/>
    <s v="CV"/>
    <n v="16.5"/>
    <n v="3"/>
    <n v="66.029646786409117"/>
    <n v="19.761889199906463"/>
    <n v="2018"/>
    <n v="12727"/>
    <n v="45.816011666683572"/>
    <x v="5"/>
  </r>
  <r>
    <s v="B99"/>
    <s v="MAJ "/>
    <s v="75G"/>
    <s v="R "/>
    <n v="26.035"/>
    <s v="GS"/>
    <n v="1215906.9599169267"/>
    <n v="1963"/>
    <s v="RB"/>
    <n v="14.2"/>
    <n v="4"/>
    <n v="94.862236700883187"/>
    <n v="12.40267026614214"/>
    <n v="2018"/>
    <n v="3902"/>
    <n v="62.794242899272035"/>
    <x v="13"/>
  </r>
  <r>
    <s v="B100"/>
    <s v="MAJ "/>
    <s v="75G"/>
    <s v="L "/>
    <n v="25.914999999999999"/>
    <s v="GS"/>
    <n v="2599226.3218906019"/>
    <n v="1970"/>
    <s v="RB"/>
    <n v="14.9"/>
    <n v="4"/>
    <n v="104.72219434065975"/>
    <n v="21.523476615692353"/>
    <n v="2020"/>
    <n v="10054"/>
    <n v="59.692969491856367"/>
    <x v="19"/>
  </r>
  <r>
    <s v="B101"/>
    <s v="MAJ "/>
    <s v="75G"/>
    <s v="L "/>
    <n v="28.16"/>
    <s v=" "/>
    <n v="2021880.7385062848"/>
    <n v="1987"/>
    <s v="CBT"/>
    <n v="36"/>
    <n v="2"/>
    <n v="96.2223089765818"/>
    <n v="19.90185232483196"/>
    <n v="2017"/>
    <n v="1597"/>
    <n v="47.82130228795959"/>
    <x v="49"/>
  </r>
  <r>
    <s v="B102"/>
    <s v="MAJ "/>
    <s v="75G"/>
    <s v="R "/>
    <n v="30.861999999999998"/>
    <s v="RV"/>
    <n v="5723179.3428403977"/>
    <n v="1967"/>
    <s v="WG"/>
    <n v="50"/>
    <n v="4"/>
    <n v="247.34841173520394"/>
    <n v="19.760502176453436"/>
    <n v="2017"/>
    <n v="4396"/>
    <n v="47.03528629570431"/>
    <x v="22"/>
  </r>
  <r>
    <s v="B103"/>
    <s v="MAJ "/>
    <s v="75G"/>
    <s v="L "/>
    <n v="30.777000000000001"/>
    <s v=" "/>
    <n v="4596580.9557253448"/>
    <n v="1964"/>
    <s v="WG"/>
    <n v="50"/>
    <n v="4"/>
    <n v="345.27821804677313"/>
    <n v="12.378788860368632"/>
    <n v="2019"/>
    <n v="14344"/>
    <n v="59.408787914887284"/>
    <x v="50"/>
  </r>
  <r>
    <s v="B104"/>
    <s v="MAJ "/>
    <s v="75G"/>
    <s v="L "/>
    <n v="36.369"/>
    <s v="GS"/>
    <n v="2591377.3607840589"/>
    <n v="1963"/>
    <s v="RB"/>
    <n v="26.5"/>
    <n v="4"/>
    <n v="150.39613643009861"/>
    <n v="15.701691776712272"/>
    <n v="2017"/>
    <n v="14898"/>
    <n v="55.318400345368396"/>
    <x v="13"/>
  </r>
  <r>
    <s v="B105"/>
    <s v="MAJ "/>
    <s v="132B"/>
    <s v="C "/>
    <n v="44.627000000000002"/>
    <s v="RO"/>
    <n v="1668359.3284237494"/>
    <n v="1963"/>
    <s v="PO"/>
    <n v="17.7"/>
    <n v="3"/>
    <n v="85.928175838939012"/>
    <n v="18.21715030615734"/>
    <n v="2017"/>
    <n v="16025"/>
    <n v="51.08446580951852"/>
    <x v="13"/>
  </r>
  <r>
    <s v="B106"/>
    <s v="MAJ "/>
    <s v="78A"/>
    <s v="C "/>
    <n v="6.56"/>
    <s v="RU"/>
    <n v="1944867.7580073024"/>
    <n v="1967"/>
    <s v="WG"/>
    <n v="20.399999999999999"/>
    <n v="3"/>
    <n v="92.81165686301145"/>
    <n v="20.796301953491401"/>
    <n v="2020"/>
    <n v="11028"/>
    <n v="48.744892904933302"/>
    <x v="22"/>
  </r>
  <r>
    <s v="B107"/>
    <s v="MAJ "/>
    <s v="102B"/>
    <s v="R "/>
    <n v="35.222000000000001"/>
    <s v="GS"/>
    <n v="2786765.6526607131"/>
    <n v="1999"/>
    <s v="WG"/>
    <n v="42"/>
    <n v="2"/>
    <n v="163.05761235488831"/>
    <n v="16.158608558523966"/>
    <n v="2020"/>
    <n v="2216"/>
    <n v="50.828812995239666"/>
    <x v="37"/>
  </r>
  <r>
    <s v="B108"/>
    <s v="MAJ "/>
    <s v="102B"/>
    <s v="L "/>
    <n v="35.213999999999999"/>
    <s v="GS"/>
    <n v="2037573.4330703274"/>
    <n v="1967"/>
    <s v="FR"/>
    <n v="24.4"/>
    <n v="5"/>
    <n v="86.57066180998396"/>
    <n v="21.735209529619993"/>
    <n v="2018"/>
    <n v="5478"/>
    <n v="41.530559294259909"/>
    <x v="22"/>
  </r>
  <r>
    <s v="B109"/>
    <s v="MAJ "/>
    <s v="75A"/>
    <s v="L "/>
    <n v="8.375"/>
    <s v="RO"/>
    <n v="2068714.3953047367"/>
    <n v="1974"/>
    <s v="RB"/>
    <n v="20.399999999999999"/>
    <n v="3"/>
    <n v="77.287478132218681"/>
    <n v="26.245320748298596"/>
    <n v="2020"/>
    <n v="8837"/>
    <n v="55.059016107382377"/>
    <x v="18"/>
  </r>
  <r>
    <s v="B110"/>
    <s v="MAJ "/>
    <s v="72A"/>
    <s v="L "/>
    <n v="8.1780000000000008"/>
    <s v=" "/>
    <n v="1005353.0798099947"/>
    <n v="1973"/>
    <s v="RB"/>
    <n v="31.1"/>
    <n v="4"/>
    <n v="95.168677173229653"/>
    <n v="10.338443227015913"/>
    <n v="2021"/>
    <n v="10253"/>
    <n v="57.691053299799847"/>
    <x v="27"/>
  </r>
  <r>
    <s v="B111"/>
    <s v="MAJ "/>
    <s v="135E"/>
    <s v="L "/>
    <n v="0.51600000000000001"/>
    <s v=" "/>
    <n v="2003475.8194741809"/>
    <n v="1972"/>
    <s v="RB"/>
    <n v="26.8"/>
    <n v="4"/>
    <n v="132.49310976537933"/>
    <n v="14.94336906420857"/>
    <n v="2021"/>
    <n v="11175"/>
    <n v="53.666478967909001"/>
    <x v="36"/>
  </r>
  <r>
    <s v="B112"/>
    <s v="MAJ "/>
    <s v="72A"/>
    <s v="L "/>
    <n v="11.438000000000001"/>
    <s v=" "/>
    <n v="1020111.6026329775"/>
    <n v="1972"/>
    <s v="RB"/>
    <n v="22.9"/>
    <n v="4"/>
    <n v="88.66604393034288"/>
    <n v="11.465288638468321"/>
    <n v="2019"/>
    <n v="7956"/>
    <n v="56.185387092169861"/>
    <x v="36"/>
  </r>
  <r>
    <s v="B113"/>
    <s v="MAJ "/>
    <s v="231B"/>
    <s v="L "/>
    <n v="31.437000000000001"/>
    <s v="GS"/>
    <n v="1711680.7888643804"/>
    <n v="1966"/>
    <s v="FC"/>
    <n v="21.3"/>
    <n v="4"/>
    <n v="69.955614139949802"/>
    <n v="21.156338694963015"/>
    <n v="2020"/>
    <n v="5284"/>
    <n v="47.837765724391602"/>
    <x v="14"/>
  </r>
  <r>
    <s v="B114"/>
    <s v="MAJ "/>
    <s v="150B"/>
    <s v="L "/>
    <n v="7.0000000000000001E-3"/>
    <s v=" "/>
    <n v="2234266.1597424457"/>
    <n v="1964"/>
    <s v="FR"/>
    <n v="28.3"/>
    <n v="3"/>
    <n v="78.551197808485583"/>
    <n v="24.528015215146855"/>
    <n v="2020"/>
    <n v="19596"/>
    <n v="47.340908150159628"/>
    <x v="50"/>
  </r>
  <r>
    <s v="B115"/>
    <s v="MAJ "/>
    <s v="144A"/>
    <s v="L "/>
    <n v="0.39600000000000002"/>
    <s v="GS"/>
    <n v="2791470.5334343133"/>
    <n v="1965"/>
    <s v="FC"/>
    <n v="25.9"/>
    <n v="4"/>
    <n v="132.26339976475992"/>
    <n v="18.82560429919797"/>
    <n v="2018"/>
    <n v="11744"/>
    <n v="60.502625311031807"/>
    <x v="26"/>
  </r>
  <r>
    <s v="B116"/>
    <s v="MAJ "/>
    <s v="78B"/>
    <s v="R "/>
    <n v="46.021000000000001"/>
    <s v="RO,GS"/>
    <n v="2300394.335302236"/>
    <n v="1969"/>
    <s v="RB"/>
    <n v="23.8"/>
    <n v="4"/>
    <n v="153.86967906744391"/>
    <n v="14.025714432401188"/>
    <n v="2020"/>
    <n v="7612"/>
    <n v="64.049574691542304"/>
    <x v="21"/>
  </r>
  <r>
    <s v="B117"/>
    <s v="MAJ "/>
    <s v="78B"/>
    <s v="L "/>
    <n v="45.679000000000002"/>
    <s v="RO,GS"/>
    <n v="3869659.8327983357"/>
    <n v="1967"/>
    <s v="RB"/>
    <n v="23.8"/>
    <n v="4"/>
    <n v="164.19339339910488"/>
    <n v="22.199894385312369"/>
    <n v="2020"/>
    <n v="1813"/>
    <n v="53.683236198837996"/>
    <x v="22"/>
  </r>
  <r>
    <s v="B118"/>
    <s v="MAJ "/>
    <s v="6B"/>
    <s v="L "/>
    <n v="5.9459999999999997"/>
    <s v="GS"/>
    <n v="3034728.5741426731"/>
    <n v="1980"/>
    <s v="VF"/>
    <n v="38.1"/>
    <n v="2"/>
    <n v="151.7744272258517"/>
    <n v="17.444481211538807"/>
    <n v="2019"/>
    <n v="14165"/>
    <n v="60.79389892733326"/>
    <x v="38"/>
  </r>
  <r>
    <s v="B119"/>
    <s v="MAJ "/>
    <s v="75F"/>
    <s v="L "/>
    <n v="16.033999999999999"/>
    <s v="GS"/>
    <n v="1680628.4787026977"/>
    <n v="1981"/>
    <s v="CF"/>
    <n v="69.2"/>
    <n v="1"/>
    <n v="69.929493504831768"/>
    <n v="23.723863411904897"/>
    <n v="2019"/>
    <n v="6899"/>
    <n v="58.207223033824583"/>
    <x v="10"/>
  </r>
  <r>
    <s v="B120"/>
    <s v="MAJ "/>
    <s v="135F"/>
    <s v="C "/>
    <n v="11.047000000000001"/>
    <s v="RV"/>
    <n v="3459683.795471136"/>
    <n v="1974"/>
    <s v="WG"/>
    <n v="42.7"/>
    <n v="4"/>
    <n v="172.17182731833407"/>
    <n v="17.666651847883738"/>
    <n v="2020"/>
    <n v="16322"/>
    <n v="53.335848797882875"/>
    <x v="18"/>
  </r>
  <r>
    <s v="B121"/>
    <s v="MAJ "/>
    <s v="75D"/>
    <s v="L "/>
    <n v="9.7390000000000008"/>
    <s v=" "/>
    <n v="3151763.9783669827"/>
    <n v="1976"/>
    <s v="WG"/>
    <n v="45.7"/>
    <n v="2"/>
    <n v="165.19893797884029"/>
    <n v="17.429618105759122"/>
    <n v="2020"/>
    <n v="15440"/>
    <n v="45.649435776219029"/>
    <x v="29"/>
  </r>
  <r>
    <s v="B122"/>
    <s v="MAJ "/>
    <s v="75D"/>
    <s v="L "/>
    <n v="6.4809999999999999"/>
    <s v="GS"/>
    <n v="804280.99036396318"/>
    <n v="1970"/>
    <s v="CA"/>
    <n v="16.2"/>
    <n v="1"/>
    <n v="16.656749135764137"/>
    <n v="47.26919660217942"/>
    <n v="2020"/>
    <n v="16159"/>
    <n v="55.308616957484581"/>
    <x v="19"/>
  </r>
  <r>
    <s v="B123"/>
    <s v="MAJ "/>
    <s v="72B"/>
    <s v="R "/>
    <n v="0.502"/>
    <s v="RO"/>
    <n v="2623710.7628537701"/>
    <n v="1980"/>
    <s v="PM"/>
    <n v="20.100000000000001"/>
    <n v="3"/>
    <n v="97.444075268974046"/>
    <n v="23.036384075911275"/>
    <n v="2020"/>
    <n v="1694"/>
    <n v="58.665951361178806"/>
    <x v="38"/>
  </r>
  <r>
    <s v="B124"/>
    <s v="MAJ "/>
    <s v="72B"/>
    <s v="L "/>
    <n v="0.54300000000000004"/>
    <s v="RO"/>
    <n v="1064374.8304832086"/>
    <n v="1974"/>
    <s v="PM"/>
    <n v="20.100000000000001"/>
    <n v="3"/>
    <n v="68.78312906834293"/>
    <n v="14.14762613686902"/>
    <n v="2019"/>
    <n v="18821"/>
    <n v="47.712156178010957"/>
    <x v="18"/>
  </r>
  <r>
    <s v="B125"/>
    <s v="MAJ "/>
    <s v="72B"/>
    <s v="R "/>
    <n v="8.0990000000000002"/>
    <s v=" "/>
    <n v="1878445.8482955084"/>
    <n v="1974"/>
    <s v="FC"/>
    <n v="24.4"/>
    <n v="2"/>
    <n v="82.363074131256255"/>
    <n v="22.146632144493172"/>
    <n v="2020"/>
    <n v="10940"/>
    <n v="44.030105522566863"/>
    <x v="18"/>
  </r>
  <r>
    <s v="B126"/>
    <s v="MAJ "/>
    <s v="72B"/>
    <s v="L "/>
    <n v="8.15"/>
    <s v=" "/>
    <n v="1742573.163209778"/>
    <n v="1970"/>
    <s v="FC"/>
    <n v="24.4"/>
    <n v="2"/>
    <n v="92.99385107321902"/>
    <n v="17.982691004337095"/>
    <n v="2017"/>
    <n v="17381"/>
    <n v="55.693383811277663"/>
    <x v="19"/>
  </r>
  <r>
    <s v="B127"/>
    <s v="MAJ "/>
    <s v="72B"/>
    <s v="L "/>
    <n v="8.15"/>
    <s v="GS"/>
    <n v="730429.3623597211"/>
    <n v="1975"/>
    <s v="FC"/>
    <n v="24.4"/>
    <n v="2"/>
    <n v="75.883355362228684"/>
    <n v="9.2732472465501665"/>
    <n v="2020"/>
    <n v="4176"/>
    <n v="44.946499973452916"/>
    <x v="0"/>
  </r>
  <r>
    <s v="B128"/>
    <s v="MAJ "/>
    <s v="72B"/>
    <s v="L "/>
    <n v="15.618"/>
    <s v="RU"/>
    <n v="996318.42633856216"/>
    <n v="1976"/>
    <s v="WG"/>
    <n v="29.3"/>
    <n v="4"/>
    <n v="153.56543240699366"/>
    <n v="6.0919012107330328"/>
    <n v="2019"/>
    <n v="1271"/>
    <n v="42.633523372070449"/>
    <x v="29"/>
  </r>
  <r>
    <s v="B129"/>
    <s v="MAJ "/>
    <s v="75E"/>
    <s v="L "/>
    <n v="21.048999999999999"/>
    <s v="GS"/>
    <n v="2090032.3514614634"/>
    <n v="1975"/>
    <s v="VF"/>
    <n v="36.6"/>
    <n v="2"/>
    <n v="121.11897844761252"/>
    <n v="14.549529272428696"/>
    <n v="2017"/>
    <n v="14494"/>
    <n v="50.518068601799747"/>
    <x v="0"/>
  </r>
  <r>
    <s v="B130"/>
    <s v="MAJ "/>
    <s v="102A"/>
    <s v="C "/>
    <n v="3.8849999999999998"/>
    <s v=" "/>
    <n v="4314113.5241086353"/>
    <n v="1979"/>
    <s v="FC"/>
    <n v="33.5"/>
    <n v="5"/>
    <n v="325.00314981136853"/>
    <n v="12.432277092191601"/>
    <n v="2021"/>
    <n v="11872"/>
    <n v="51.25919461490485"/>
    <x v="16"/>
  </r>
  <r>
    <s v="B131"/>
    <s v="MAJ "/>
    <s v="75C"/>
    <s v="R "/>
    <n v="8.4160000000000004"/>
    <s v="RO"/>
    <n v="1151393.0930905975"/>
    <n v="2001"/>
    <s v="CBC"/>
    <n v="38"/>
    <n v="1"/>
    <n v="47.197157902857199"/>
    <n v="23.899152425699331"/>
    <n v="2021"/>
    <n v="19446"/>
    <n v="58.064759257062441"/>
    <x v="51"/>
  </r>
  <r>
    <s v="B132"/>
    <s v="MAJ "/>
    <s v="75C"/>
    <s v="R "/>
    <n v="8.5069999999999997"/>
    <s v="RO"/>
    <n v="1537443.0489197173"/>
    <n v="2008"/>
    <s v="CBC"/>
    <n v="38"/>
    <n v="1"/>
    <n v="66.156546540002921"/>
    <n v="19.941747237653008"/>
    <n v="2021"/>
    <n v="1968"/>
    <n v="51.386490046453737"/>
    <x v="52"/>
  </r>
  <r>
    <s v="B133"/>
    <s v="MAJ "/>
    <s v="195A"/>
    <s v="L "/>
    <n v="4.0060000000000002"/>
    <s v="GS"/>
    <n v="2564327.967536808"/>
    <n v="1985"/>
    <s v="FM"/>
    <n v="26"/>
    <n v="4"/>
    <n v="121.30752770095845"/>
    <n v="19.635153581039219"/>
    <n v="2020"/>
    <n v="7574"/>
    <n v="46.795422659065316"/>
    <x v="31"/>
  </r>
  <r>
    <s v="B134"/>
    <s v="MAJ "/>
    <s v="75E"/>
    <s v="L "/>
    <n v="9.7119999999999997"/>
    <s v="GS"/>
    <n v="2295858.7870655721"/>
    <n v="1979"/>
    <s v="VF"/>
    <n v="36.6"/>
    <n v="2"/>
    <n v="145.73442396403672"/>
    <n v="14.48372413234841"/>
    <n v="2020"/>
    <n v="9564"/>
    <n v="48.430776474334351"/>
    <x v="16"/>
  </r>
  <r>
    <s v="B135"/>
    <s v="MAJ "/>
    <s v="135F"/>
    <s v="C "/>
    <n v="12.766999999999999"/>
    <s v="RO"/>
    <n v="2249805.7360626245"/>
    <n v="1972"/>
    <s v="PM"/>
    <n v="16.8"/>
    <n v="3"/>
    <n v="88.722707824442168"/>
    <n v="21.565796002490373"/>
    <n v="2018"/>
    <n v="7258"/>
    <n v="48.446923401482934"/>
    <x v="36"/>
  </r>
  <r>
    <s v="B136"/>
    <s v="MAJ "/>
    <s v="66B"/>
    <s v="C "/>
    <n v="10.250999999999999"/>
    <s v="RO"/>
    <n v="2084828.2354827106"/>
    <n v="1987"/>
    <s v="RM"/>
    <n v="24"/>
    <n v="3"/>
    <n v="91.214483601560957"/>
    <n v="19.275005155844994"/>
    <n v="2018"/>
    <n v="8232"/>
    <n v="52.467599700009295"/>
    <x v="49"/>
  </r>
  <r>
    <s v="B137"/>
    <s v="MAJ "/>
    <s v="72C"/>
    <s v="R "/>
    <n v="2.4420000000000002"/>
    <s v="RO"/>
    <n v="665708.67195737187"/>
    <n v="1982"/>
    <s v="RD"/>
    <n v="12.2"/>
    <n v="3"/>
    <n v="40.854695873393077"/>
    <n v="13.764519230965348"/>
    <n v="2019"/>
    <n v="16122"/>
    <n v="52.168323722164949"/>
    <x v="47"/>
  </r>
  <r>
    <s v="B138"/>
    <s v="MAJ "/>
    <s v="72C"/>
    <s v="L "/>
    <n v="2.4409999999999998"/>
    <s v="RO"/>
    <n v="854143.42919532454"/>
    <n v="1976"/>
    <s v="RD"/>
    <n v="12.2"/>
    <n v="3"/>
    <n v="46.428459885904118"/>
    <n v="15.460707636742088"/>
    <n v="2020"/>
    <n v="14225"/>
    <n v="50.023751255234721"/>
    <x v="29"/>
  </r>
  <r>
    <s v="B139"/>
    <s v="MAJ "/>
    <s v="75D"/>
    <s v="L "/>
    <n v="29.555"/>
    <s v="GS"/>
    <n v="1941204.0822331186"/>
    <n v="1983"/>
    <s v="CBT"/>
    <n v="34"/>
    <n v="2"/>
    <n v="102.32134906655531"/>
    <n v="16.43876633654671"/>
    <n v="2017"/>
    <n v="18606"/>
    <n v="51.030153970968591"/>
    <x v="9"/>
  </r>
  <r>
    <s v="B140"/>
    <s v="MAJ "/>
    <s v="285A"/>
    <s v="C "/>
    <n v="0"/>
    <s v="GS"/>
    <n v="2125797.9171461682"/>
    <n v="1983"/>
    <s v="LF"/>
    <n v="38.1"/>
    <n v="2"/>
    <n v="135.97238342509812"/>
    <n v="15.487202797942762"/>
    <n v="2018"/>
    <n v="14537"/>
    <n v="54.079863686190016"/>
    <x v="9"/>
  </r>
  <r>
    <s v="B141"/>
    <s v="MAJ "/>
    <s v="75D"/>
    <s v="L "/>
    <n v="24.347000000000001"/>
    <s v="GS"/>
    <n v="1533217.8541241016"/>
    <n v="1984"/>
    <s v="WG"/>
    <n v="39"/>
    <n v="2"/>
    <n v="146.49245580149761"/>
    <n v="9.4807645642663783"/>
    <n v="2020"/>
    <n v="2852"/>
    <n v="51.947033320421916"/>
    <x v="53"/>
  </r>
  <r>
    <s v="B142"/>
    <s v="MAJ "/>
    <s v="75D"/>
    <s v="L "/>
    <n v="7.8470000000000004"/>
    <s v="PS"/>
    <n v="684418.78347329353"/>
    <n v="1983"/>
    <s v="PQ"/>
    <n v="36.9"/>
    <n v="4"/>
    <n v="203.01524149268255"/>
    <n v="3.2569623099441389"/>
    <n v="2019"/>
    <n v="9403"/>
    <n v="49.697135319279006"/>
    <x v="9"/>
  </r>
  <r>
    <s v="B143"/>
    <s v="MAJ "/>
    <s v="135H"/>
    <s v="C "/>
    <n v="0.75600000000000001"/>
    <s v="RV"/>
    <n v="1276411.6875322682"/>
    <n v="1980"/>
    <s v="DBT"/>
    <n v="38"/>
    <n v="1"/>
    <n v="55.524159611633614"/>
    <n v="20.976969384107335"/>
    <n v="2018"/>
    <n v="12783"/>
    <n v="50.46328362180774"/>
    <x v="38"/>
  </r>
  <r>
    <s v="B144"/>
    <s v="MAJ "/>
    <s v="135C"/>
    <s v="C "/>
    <n v="28.114999999999998"/>
    <s v=" "/>
    <n v="750912.02564160922"/>
    <n v="1983"/>
    <s v="DBT"/>
    <n v="42"/>
    <n v="1"/>
    <n v="57.071233302892608"/>
    <n v="12.724015897714814"/>
    <n v="2019"/>
    <n v="3497"/>
    <n v="52.422433903097307"/>
    <x v="9"/>
  </r>
  <r>
    <s v="B145"/>
    <s v="MAJ "/>
    <s v="9A"/>
    <s v="L "/>
    <n v="5.452"/>
    <s v="RO,GS"/>
    <n v="5979219.406130271"/>
    <n v="1983"/>
    <s v="WG"/>
    <n v="32"/>
    <n v="4"/>
    <n v="192.93075616941067"/>
    <n v="27.295654823689858"/>
    <n v="2021"/>
    <n v="2411"/>
    <n v="47.468751075164853"/>
    <x v="9"/>
  </r>
  <r>
    <s v="B146"/>
    <s v="MAJ "/>
    <s v="75F"/>
    <s v="L "/>
    <n v="24.538"/>
    <s v="GS"/>
    <n v="2235316.0606715153"/>
    <n v="2012"/>
    <s v="WG"/>
    <n v="35"/>
    <n v="3"/>
    <n v="156.5370079672993"/>
    <n v="13.993540513577038"/>
    <n v="2018"/>
    <n v="7945"/>
    <n v="54.283382564370932"/>
    <x v="54"/>
  </r>
  <r>
    <s v="B147"/>
    <s v="MAJ "/>
    <s v="135H"/>
    <s v="C "/>
    <n v="14.531000000000001"/>
    <s v="RV"/>
    <n v="1302748.1563580616"/>
    <n v="1989"/>
    <s v="WG"/>
    <n v="22"/>
    <n v="3"/>
    <n v="67.47355490334688"/>
    <n v="17.177980990045526"/>
    <n v="2017"/>
    <n v="6605"/>
    <n v="43.637005424617691"/>
    <x v="41"/>
  </r>
  <r>
    <s v="B148"/>
    <s v="STD "/>
    <s v="102B"/>
    <s v="C "/>
    <n v="25.161999999999999"/>
    <s v="RV"/>
    <n v="346883.13007561601"/>
    <n v="1990"/>
    <s v="SM"/>
    <n v="11"/>
    <n v="1"/>
    <n v="18.084320830578481"/>
    <n v="16.934555401403099"/>
    <n v="2018"/>
    <n v="14208"/>
    <n v="46.857677323471336"/>
    <x v="30"/>
  </r>
  <r>
    <s v="B149"/>
    <s v="MAJ "/>
    <s v="75G"/>
    <s v="L "/>
    <n v="22.274000000000001"/>
    <s v="GS"/>
    <n v="4515794.7122687493"/>
    <n v="2000"/>
    <s v="WG"/>
    <n v="37"/>
    <n v="3"/>
    <n v="128.53720923021689"/>
    <n v="29.71375722508645"/>
    <n v="2020"/>
    <n v="4166"/>
    <n v="45.961559992115532"/>
    <x v="7"/>
  </r>
  <r>
    <s v="B150"/>
    <s v="STD "/>
    <s v="72C"/>
    <s v="R "/>
    <n v="25.035"/>
    <s v=" "/>
    <n v="273414.03381405456"/>
    <n v="1986"/>
    <s v="SM"/>
    <n v="11"/>
    <n v="1"/>
    <n v="14.651796665419798"/>
    <n v="18.217808373010655"/>
    <n v="2019"/>
    <n v="19061"/>
    <n v="53.214085503097259"/>
    <x v="55"/>
  </r>
  <r>
    <s v="B151"/>
    <s v="MAJ "/>
    <s v="66B"/>
    <s v="C "/>
    <n v="22.353999999999999"/>
    <s v="IC"/>
    <n v="696801.82312620501"/>
    <n v="1988"/>
    <s v="SMC"/>
    <n v="10"/>
    <n v="3"/>
    <n v="37.963268784994028"/>
    <n v="16.723361577196396"/>
    <n v="2018"/>
    <n v="6271"/>
    <n v="50.72336352317987"/>
    <x v="44"/>
  </r>
  <r>
    <s v="B152"/>
    <s v="MAJ "/>
    <s v="141A"/>
    <s v="C "/>
    <n v="38.049999999999997"/>
    <s v=" "/>
    <n v="1244526.2144428163"/>
    <n v="1990"/>
    <s v="WG"/>
    <n v="22"/>
    <n v="2"/>
    <n v="45.03100450452353"/>
    <n v="23.239337416491104"/>
    <n v="2018"/>
    <n v="15398"/>
    <n v="59.20814397003867"/>
    <x v="30"/>
  </r>
  <r>
    <s v="B153"/>
    <s v="STD "/>
    <s v="132B"/>
    <s v="C "/>
    <n v="7.8019999999999996"/>
    <s v="SP"/>
    <n v="54040.500958624914"/>
    <n v="1960"/>
    <s v="TP"/>
    <n v="1.9"/>
    <n v="1"/>
    <n v="2.7560632072042948"/>
    <n v="19.513183511337864"/>
    <n v="2019"/>
    <n v="16411"/>
    <n v="54.788619120898744"/>
    <x v="5"/>
  </r>
  <r>
    <s v="B154"/>
    <s v="MAJ "/>
    <s v="78B"/>
    <s v="R "/>
    <n v="28.364000000000001"/>
    <s v=" "/>
    <n v="8186037.0030753752"/>
    <n v="2000"/>
    <s v="WG"/>
    <n v="66"/>
    <n v="3"/>
    <n v="327.50961778367764"/>
    <n v="24.314867479890527"/>
    <n v="2018"/>
    <n v="19594"/>
    <n v="58.666765237723176"/>
    <x v="7"/>
  </r>
  <r>
    <s v="B155"/>
    <s v="MAJ "/>
    <s v="78B"/>
    <s v="L "/>
    <n v="28.012"/>
    <s v=" "/>
    <n v="4924258.1896237042"/>
    <n v="2003"/>
    <s v="WG"/>
    <n v="66"/>
    <n v="3"/>
    <n v="240.17388905663427"/>
    <n v="18.688231484113981"/>
    <n v="2019"/>
    <n v="15337"/>
    <n v="54.31636027979993"/>
    <x v="45"/>
  </r>
  <r>
    <s v="B156"/>
    <s v="MAJ "/>
    <s v="78B"/>
    <s v="L "/>
    <n v="31.073"/>
    <s v="GS"/>
    <n v="3555209.512223464"/>
    <n v="1998"/>
    <s v="WG"/>
    <n v="60"/>
    <n v="3"/>
    <n v="213.56592915041441"/>
    <n v="14.067843077762825"/>
    <n v="2020"/>
    <n v="17837"/>
    <n v="58.134172153734433"/>
    <x v="20"/>
  </r>
  <r>
    <s v="B157"/>
    <s v="MAJ "/>
    <s v="78B"/>
    <s v="R "/>
    <n v="1.2E-2"/>
    <s v="GS"/>
    <n v="1823820.469158401"/>
    <n v="1994"/>
    <s v="WG"/>
    <n v="34"/>
    <n v="2"/>
    <n v="107.35696688006703"/>
    <n v="16.813437807700627"/>
    <n v="2020"/>
    <n v="14128"/>
    <n v="54.322272739373574"/>
    <x v="17"/>
  </r>
  <r>
    <s v="B158"/>
    <s v="MAJ "/>
    <s v="78A"/>
    <s v="L "/>
    <n v="43.838999999999999"/>
    <s v="GS"/>
    <n v="1288238.6208550341"/>
    <n v="1994"/>
    <s v="WG"/>
    <n v="34"/>
    <n v="2"/>
    <n v="85.305460808796269"/>
    <n v="13.772770592285218"/>
    <n v="2018"/>
    <n v="19162"/>
    <n v="54.479123199478295"/>
    <x v="17"/>
  </r>
  <r>
    <s v="B159"/>
    <s v="MAJ "/>
    <s v="6C"/>
    <s v="R "/>
    <n v="0.311"/>
    <s v=" "/>
    <n v="1685967.5202401984"/>
    <n v="2008"/>
    <s v="WG"/>
    <n v="56"/>
    <n v="1"/>
    <n v="91.845560697775198"/>
    <n v="17.94017985700021"/>
    <n v="2021"/>
    <n v="11552"/>
    <n v="54.720991260209395"/>
    <x v="52"/>
  </r>
  <r>
    <s v="B160"/>
    <s v="MAJ "/>
    <s v="78B"/>
    <s v="R "/>
    <n v="30.952999999999999"/>
    <s v=" "/>
    <n v="953883.61087304668"/>
    <n v="1994"/>
    <s v="CBC"/>
    <n v="33.5"/>
    <n v="1"/>
    <n v="65.226238398301987"/>
    <n v="12.900389117391288"/>
    <n v="2021"/>
    <n v="15677"/>
    <n v="54.942575098181727"/>
    <x v="17"/>
  </r>
  <r>
    <s v="B161"/>
    <s v="MAJ "/>
    <s v="78B"/>
    <s v="L "/>
    <n v="30.61"/>
    <s v=" "/>
    <n v="1244060.7934518887"/>
    <n v="1998"/>
    <s v="CBC"/>
    <n v="33.5"/>
    <n v="1"/>
    <n v="49.055740888115118"/>
    <n v="23.171562385258046"/>
    <n v="2020"/>
    <n v="17806"/>
    <n v="60.665353774684696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A8473-7F10-4E39-B48A-69A5A21088C8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6" showAll="0"/>
    <pivotField showAll="0"/>
    <pivotField numFmtId="1" showAll="0"/>
    <pivotField dataField="1" numFmtId="1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6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 t="grand">
      <x/>
    </i>
  </rowItems>
  <colItems count="1">
    <i/>
  </colItems>
  <dataFields count="1">
    <dataField name="Average of Overall cond rate" fld="15" subtotal="average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80204-0B42-444C-A89E-5A08077DD2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3"/>
  <sheetViews>
    <sheetView tabSelected="1" zoomScale="85" zoomScaleNormal="85" zoomScaleSheetLayoutView="100" workbookViewId="0">
      <selection activeCell="G3" sqref="G3"/>
    </sheetView>
  </sheetViews>
  <sheetFormatPr defaultColWidth="8.88671875" defaultRowHeight="15" customHeight="1" x14ac:dyDescent="0.25"/>
  <cols>
    <col min="2" max="2" width="7.44140625" customWidth="1"/>
    <col min="3" max="3" width="5.33203125" customWidth="1"/>
    <col min="4" max="4" width="5.109375" customWidth="1"/>
    <col min="5" max="6" width="6.44140625" customWidth="1"/>
    <col min="7" max="7" width="13.6640625" customWidth="1"/>
    <col min="8" max="8" width="10.109375" customWidth="1"/>
    <col min="9" max="9" width="9.44140625" customWidth="1"/>
    <col min="10" max="10" width="8.88671875" customWidth="1"/>
    <col min="11" max="11" width="6" customWidth="1"/>
    <col min="12" max="12" width="13.109375" customWidth="1"/>
    <col min="13" max="13" width="11" customWidth="1"/>
    <col min="14" max="16" width="8" customWidth="1"/>
    <col min="17" max="17" width="9.33203125" customWidth="1"/>
    <col min="18" max="18" width="13.44140625" bestFit="1" customWidth="1"/>
    <col min="19" max="19" width="14" bestFit="1" customWidth="1"/>
    <col min="20" max="20" width="13.44140625" bestFit="1" customWidth="1"/>
    <col min="21" max="21" width="9.44140625" bestFit="1" customWidth="1"/>
    <col min="22" max="22" width="15.109375" style="17" bestFit="1" customWidth="1"/>
    <col min="24" max="24" width="11.44140625" bestFit="1" customWidth="1"/>
    <col min="27" max="27" width="10.5546875" bestFit="1" customWidth="1"/>
    <col min="28" max="28" width="13.33203125" bestFit="1" customWidth="1"/>
    <col min="29" max="29" width="12.77734375" customWidth="1"/>
  </cols>
  <sheetData>
    <row r="1" spans="1:28" ht="12" customHeight="1" x14ac:dyDescent="0.25">
      <c r="A1" s="73" t="s">
        <v>229</v>
      </c>
      <c r="B1" s="71" t="s">
        <v>230</v>
      </c>
      <c r="C1" s="73" t="s">
        <v>166</v>
      </c>
      <c r="D1" s="73" t="s">
        <v>167</v>
      </c>
      <c r="E1" s="77" t="s">
        <v>161</v>
      </c>
      <c r="F1" s="71" t="s">
        <v>255</v>
      </c>
      <c r="G1" s="71" t="s">
        <v>302</v>
      </c>
      <c r="H1" s="71" t="s">
        <v>162</v>
      </c>
      <c r="I1" s="71" t="s">
        <v>256</v>
      </c>
      <c r="J1" s="71" t="s">
        <v>254</v>
      </c>
      <c r="K1" s="71" t="s">
        <v>257</v>
      </c>
      <c r="L1" s="71" t="s">
        <v>235</v>
      </c>
      <c r="M1" s="71" t="s">
        <v>258</v>
      </c>
      <c r="N1" s="68" t="s">
        <v>253</v>
      </c>
      <c r="O1" s="69"/>
      <c r="P1" s="70"/>
      <c r="Q1" s="75" t="s">
        <v>231</v>
      </c>
      <c r="R1" s="71" t="s">
        <v>297</v>
      </c>
      <c r="S1" s="67" t="s">
        <v>317</v>
      </c>
    </row>
    <row r="2" spans="1:28" ht="15" customHeight="1" x14ac:dyDescent="0.25">
      <c r="A2" s="74"/>
      <c r="B2" s="72"/>
      <c r="C2" s="74"/>
      <c r="D2" s="74"/>
      <c r="E2" s="78"/>
      <c r="F2" s="72"/>
      <c r="G2" s="72"/>
      <c r="H2" s="72"/>
      <c r="I2" s="72"/>
      <c r="J2" s="72"/>
      <c r="K2" s="72"/>
      <c r="L2" s="72"/>
      <c r="M2" s="72"/>
      <c r="N2" s="23" t="s">
        <v>303</v>
      </c>
      <c r="O2" s="22" t="s">
        <v>304</v>
      </c>
      <c r="P2" s="22" t="s">
        <v>305</v>
      </c>
      <c r="Q2" s="76"/>
      <c r="R2" s="72"/>
      <c r="S2" s="67"/>
      <c r="V2" s="17" t="s">
        <v>306</v>
      </c>
      <c r="W2" s="35" t="s">
        <v>307</v>
      </c>
      <c r="X2" s="36" t="s">
        <v>308</v>
      </c>
      <c r="Y2" s="38" t="s">
        <v>314</v>
      </c>
      <c r="AA2" t="s">
        <v>315</v>
      </c>
      <c r="AB2" t="s">
        <v>316</v>
      </c>
    </row>
    <row r="3" spans="1:28" ht="15" customHeight="1" x14ac:dyDescent="0.3">
      <c r="A3" s="4" t="s">
        <v>0</v>
      </c>
      <c r="B3" s="1" t="s">
        <v>228</v>
      </c>
      <c r="C3" s="1" t="s">
        <v>188</v>
      </c>
      <c r="D3" s="1" t="s">
        <v>165</v>
      </c>
      <c r="E3" s="1">
        <v>14.818</v>
      </c>
      <c r="F3" s="1" t="s">
        <v>262</v>
      </c>
      <c r="G3" s="21">
        <v>251124.06191240353</v>
      </c>
      <c r="H3" s="1">
        <v>1975</v>
      </c>
      <c r="I3" s="1" t="s">
        <v>240</v>
      </c>
      <c r="J3" s="1">
        <v>6.1</v>
      </c>
      <c r="K3" s="1">
        <v>1</v>
      </c>
      <c r="L3" s="19">
        <v>11.67066921107164</v>
      </c>
      <c r="M3" s="24">
        <v>21.488883734719522</v>
      </c>
      <c r="N3" s="19">
        <v>64.093955541941881</v>
      </c>
      <c r="O3" s="19">
        <v>64.222792150903757</v>
      </c>
      <c r="P3" s="19">
        <v>43.155012822020218</v>
      </c>
      <c r="Q3" s="1">
        <v>2018</v>
      </c>
      <c r="R3" s="19">
        <v>15562</v>
      </c>
      <c r="S3" s="40">
        <f>(N3+O3+P3)/3</f>
        <v>57.157253504955285</v>
      </c>
      <c r="T3" s="27"/>
      <c r="U3" s="20"/>
      <c r="V3" s="34">
        <f ca="1">YEAR(TODAY())-H3</f>
        <v>51</v>
      </c>
      <c r="W3" s="18" t="str">
        <f ca="1">IF(V3&lt;=25,"0-25",IF(V3&lt;=50,"25-50",IF(V3&lt;=75,"50-75",IF(V3&lt;=100,"75-100"))))</f>
        <v>50-75</v>
      </c>
      <c r="X3" s="37" t="s">
        <v>309</v>
      </c>
      <c r="Y3" s="39">
        <f ca="1">COUNTIF(W3:W163, "0-25")</f>
        <v>6</v>
      </c>
      <c r="AA3" s="39">
        <f ca="1">COUNTIFS(W3:W163, "0-25", B3:B163, "MAJ ")</f>
        <v>6</v>
      </c>
      <c r="AB3" s="39">
        <f ca="1">COUNTIFS(W3:W163, "0-25", B3:B163, "STD ")</f>
        <v>0</v>
      </c>
    </row>
    <row r="4" spans="1:28" ht="15" customHeight="1" x14ac:dyDescent="0.3">
      <c r="A4" s="4" t="s">
        <v>1</v>
      </c>
      <c r="B4" s="1" t="s">
        <v>227</v>
      </c>
      <c r="C4" s="1" t="s">
        <v>218</v>
      </c>
      <c r="D4" s="1" t="s">
        <v>165</v>
      </c>
      <c r="E4" s="1">
        <v>23.774000000000001</v>
      </c>
      <c r="F4" s="1" t="s">
        <v>262</v>
      </c>
      <c r="G4" s="21">
        <v>4463535.7898894809</v>
      </c>
      <c r="H4" s="1">
        <v>1978</v>
      </c>
      <c r="I4" s="1" t="s">
        <v>272</v>
      </c>
      <c r="J4" s="1">
        <v>36.6</v>
      </c>
      <c r="K4" s="1">
        <v>4</v>
      </c>
      <c r="L4" s="19">
        <v>251.22812754341305</v>
      </c>
      <c r="M4" s="24">
        <v>16.919171264706787</v>
      </c>
      <c r="N4" s="19">
        <v>54.069648946211359</v>
      </c>
      <c r="O4" s="19">
        <v>71.158213672519594</v>
      </c>
      <c r="P4" s="19">
        <v>56.16639404271686</v>
      </c>
      <c r="Q4" s="1">
        <v>2018</v>
      </c>
      <c r="R4" s="19">
        <v>8773</v>
      </c>
      <c r="S4" s="40">
        <f t="shared" ref="S4:S67" si="0">(N4+O4+P4)/3</f>
        <v>60.464752220482602</v>
      </c>
      <c r="T4" s="27"/>
      <c r="U4" s="20"/>
      <c r="V4" s="34">
        <f t="shared" ref="V4:V67" ca="1" si="1">YEAR(TODAY())-H4</f>
        <v>48</v>
      </c>
      <c r="W4" s="18" t="str">
        <f t="shared" ref="W4:W67" ca="1" si="2">IF(V4&lt;=25,"0-25",IF(V4&lt;=50,"25-50",IF(V4&lt;=75,"50-75",IF(V4&lt;=100,"75-100"))))</f>
        <v>25-50</v>
      </c>
      <c r="X4" s="37" t="s">
        <v>310</v>
      </c>
      <c r="Y4" s="39">
        <f ca="1">COUNTIF(W3:W163, "25-50")</f>
        <v>75</v>
      </c>
      <c r="AA4" s="39">
        <f ca="1">COUNTIFS(W3:W163, "25-50", B3:B163, "MAJ ")</f>
        <v>60</v>
      </c>
      <c r="AB4" s="39">
        <f ca="1">COUNTIFS(W3:W163, "25-50", B3:B163, "STD ")</f>
        <v>15</v>
      </c>
    </row>
    <row r="5" spans="1:28" ht="15" customHeight="1" x14ac:dyDescent="0.3">
      <c r="A5" s="4" t="s">
        <v>2</v>
      </c>
      <c r="B5" s="1" t="s">
        <v>227</v>
      </c>
      <c r="C5" s="1" t="s">
        <v>202</v>
      </c>
      <c r="D5" s="1" t="s">
        <v>165</v>
      </c>
      <c r="E5" s="1">
        <v>21.297999999999998</v>
      </c>
      <c r="F5" s="1" t="s">
        <v>262</v>
      </c>
      <c r="G5" s="21">
        <v>1019767.4364383416</v>
      </c>
      <c r="H5" s="1">
        <v>1959</v>
      </c>
      <c r="I5" s="1" t="s">
        <v>270</v>
      </c>
      <c r="J5" s="1">
        <v>18.899999999999999</v>
      </c>
      <c r="K5" s="1">
        <v>3</v>
      </c>
      <c r="L5" s="19">
        <v>83.83034506957496</v>
      </c>
      <c r="M5" s="24">
        <v>11.835840971436529</v>
      </c>
      <c r="N5" s="19">
        <v>60.53112184543312</v>
      </c>
      <c r="O5" s="19">
        <v>54.210105089600219</v>
      </c>
      <c r="P5" s="19">
        <v>34.689818066291743</v>
      </c>
      <c r="Q5" s="1">
        <v>2019</v>
      </c>
      <c r="R5" s="19">
        <v>2277</v>
      </c>
      <c r="S5" s="40">
        <f t="shared" si="0"/>
        <v>49.810348333775032</v>
      </c>
      <c r="T5" s="27"/>
      <c r="U5" s="20"/>
      <c r="V5" s="34">
        <f t="shared" ca="1" si="1"/>
        <v>67</v>
      </c>
      <c r="W5" s="18" t="str">
        <f t="shared" ca="1" si="2"/>
        <v>50-75</v>
      </c>
      <c r="X5" s="37" t="s">
        <v>311</v>
      </c>
      <c r="Y5" s="39">
        <f ca="1">COUNTIF(W3:W163, "50-75")</f>
        <v>74</v>
      </c>
      <c r="AA5" s="39">
        <f ca="1">COUNTIFS(W3:W163, "50-75", B3:B163, "MAJ ")</f>
        <v>69</v>
      </c>
      <c r="AB5" s="39">
        <f ca="1">COUNTIFS(W3:W163, "50-75", B3:B163, "STD ")</f>
        <v>5</v>
      </c>
    </row>
    <row r="6" spans="1:28" ht="15" customHeight="1" x14ac:dyDescent="0.3">
      <c r="A6" s="4" t="s">
        <v>3</v>
      </c>
      <c r="B6" s="1" t="s">
        <v>227</v>
      </c>
      <c r="C6" s="1" t="s">
        <v>193</v>
      </c>
      <c r="D6" s="1" t="s">
        <v>165</v>
      </c>
      <c r="E6" s="1">
        <v>41.786999999999999</v>
      </c>
      <c r="F6" s="1" t="s">
        <v>241</v>
      </c>
      <c r="G6" s="21">
        <v>670009.48873344739</v>
      </c>
      <c r="H6" s="1">
        <v>1992</v>
      </c>
      <c r="I6" s="1" t="s">
        <v>244</v>
      </c>
      <c r="J6" s="1">
        <v>12</v>
      </c>
      <c r="K6" s="1">
        <v>3</v>
      </c>
      <c r="L6" s="19">
        <v>51.404896404317199</v>
      </c>
      <c r="M6" s="24">
        <v>12.470935571330523</v>
      </c>
      <c r="N6" s="19">
        <v>54.876022690078855</v>
      </c>
      <c r="O6" s="19">
        <v>67.32024108562544</v>
      </c>
      <c r="P6" s="19">
        <v>39.173236687434404</v>
      </c>
      <c r="Q6" s="1">
        <v>2017</v>
      </c>
      <c r="R6" s="19">
        <v>7101</v>
      </c>
      <c r="S6" s="40">
        <f t="shared" si="0"/>
        <v>53.789833487712905</v>
      </c>
      <c r="T6" s="27"/>
      <c r="U6" s="20"/>
      <c r="V6" s="34">
        <f t="shared" ca="1" si="1"/>
        <v>34</v>
      </c>
      <c r="W6" s="18" t="str">
        <f t="shared" ca="1" si="2"/>
        <v>25-50</v>
      </c>
      <c r="X6" s="37" t="s">
        <v>312</v>
      </c>
      <c r="Y6" s="39">
        <f ca="1">COUNTIF(W3:W163, "75-100")</f>
        <v>5</v>
      </c>
      <c r="AA6" s="39">
        <f ca="1">COUNTIFS(W3:W163, "75-100", B3:B163, "MAJ ")</f>
        <v>1</v>
      </c>
      <c r="AB6" s="39">
        <f ca="1">COUNTIFS(W3:W163, "75-100", B3:B163, "STD ")</f>
        <v>4</v>
      </c>
    </row>
    <row r="7" spans="1:28" ht="15" customHeight="1" x14ac:dyDescent="0.3">
      <c r="A7" s="4" t="s">
        <v>4</v>
      </c>
      <c r="B7" s="1" t="s">
        <v>227</v>
      </c>
      <c r="C7" s="1" t="s">
        <v>186</v>
      </c>
      <c r="D7" s="1" t="s">
        <v>165</v>
      </c>
      <c r="E7" s="1">
        <v>11.901</v>
      </c>
      <c r="F7" s="1" t="s">
        <v>264</v>
      </c>
      <c r="G7" s="21">
        <v>1282952.8879425246</v>
      </c>
      <c r="H7" s="1">
        <v>1958</v>
      </c>
      <c r="I7" s="1" t="s">
        <v>268</v>
      </c>
      <c r="J7" s="1">
        <v>23.8</v>
      </c>
      <c r="K7" s="1">
        <v>3</v>
      </c>
      <c r="L7" s="19">
        <v>58.376076312648181</v>
      </c>
      <c r="M7" s="24">
        <v>20.657970783618357</v>
      </c>
      <c r="N7" s="19">
        <v>53.329184253821253</v>
      </c>
      <c r="O7" s="19">
        <v>64.345510866882506</v>
      </c>
      <c r="P7" s="19">
        <v>60.535189745016268</v>
      </c>
      <c r="Q7" s="1">
        <v>2018</v>
      </c>
      <c r="R7" s="19">
        <v>1840</v>
      </c>
      <c r="S7" s="40">
        <f t="shared" si="0"/>
        <v>59.403294955240007</v>
      </c>
      <c r="T7" s="27"/>
      <c r="U7" s="20"/>
      <c r="V7" s="34">
        <f t="shared" ca="1" si="1"/>
        <v>68</v>
      </c>
      <c r="W7" s="18" t="str">
        <f t="shared" ca="1" si="2"/>
        <v>50-75</v>
      </c>
      <c r="X7" s="37" t="s">
        <v>313</v>
      </c>
      <c r="Y7" s="39">
        <f ca="1">COUNTIF(W7:W167, FALSE)</f>
        <v>1</v>
      </c>
      <c r="Z7">
        <f ca="1">SUM(Y3:Y7)</f>
        <v>161</v>
      </c>
      <c r="AA7" s="39">
        <f ca="1">COUNTIFS(W3:W163, FALSE, B3:B163, "MAJ ")</f>
        <v>1</v>
      </c>
      <c r="AB7" s="39">
        <f ca="1">COUNTIFS(W3:W163, FALSE, B3:B163, "STD ")</f>
        <v>0</v>
      </c>
    </row>
    <row r="8" spans="1:28" ht="15" customHeight="1" x14ac:dyDescent="0.25">
      <c r="A8" s="4" t="s">
        <v>5</v>
      </c>
      <c r="B8" s="1" t="s">
        <v>227</v>
      </c>
      <c r="C8" s="1" t="s">
        <v>203</v>
      </c>
      <c r="D8" s="1" t="s">
        <v>165</v>
      </c>
      <c r="E8" s="1">
        <v>27.285</v>
      </c>
      <c r="F8" s="1" t="s">
        <v>262</v>
      </c>
      <c r="G8" s="21">
        <v>1189593.3485300427</v>
      </c>
      <c r="H8" s="1">
        <v>1960</v>
      </c>
      <c r="I8" s="1" t="s">
        <v>244</v>
      </c>
      <c r="J8" s="1">
        <v>12</v>
      </c>
      <c r="K8" s="1">
        <v>3</v>
      </c>
      <c r="L8" s="19">
        <v>57.206124806734522</v>
      </c>
      <c r="M8" s="24">
        <v>18.940724820987079</v>
      </c>
      <c r="N8" s="19">
        <v>62.935586142764109</v>
      </c>
      <c r="O8" s="19">
        <v>46.053522120281229</v>
      </c>
      <c r="P8" s="19">
        <v>49.234950410112297</v>
      </c>
      <c r="Q8" s="1">
        <v>2021</v>
      </c>
      <c r="R8" s="19">
        <v>3525</v>
      </c>
      <c r="S8" s="40">
        <f t="shared" si="0"/>
        <v>52.741352891052543</v>
      </c>
      <c r="T8" s="27"/>
      <c r="U8" s="20"/>
      <c r="V8" s="34">
        <f t="shared" ca="1" si="1"/>
        <v>66</v>
      </c>
      <c r="W8" s="18" t="str">
        <f t="shared" ca="1" si="2"/>
        <v>50-75</v>
      </c>
      <c r="X8" s="18"/>
      <c r="AA8">
        <f ca="1">SUM(AA3:AA7)</f>
        <v>137</v>
      </c>
      <c r="AB8">
        <f ca="1">SUM(AB3:AB7)</f>
        <v>24</v>
      </c>
    </row>
    <row r="9" spans="1:28" ht="15" customHeight="1" x14ac:dyDescent="0.25">
      <c r="A9" s="4" t="s">
        <v>6</v>
      </c>
      <c r="B9" s="1" t="s">
        <v>227</v>
      </c>
      <c r="C9" s="1" t="s">
        <v>205</v>
      </c>
      <c r="D9" s="1" t="s">
        <v>165</v>
      </c>
      <c r="E9" s="1">
        <v>2.83</v>
      </c>
      <c r="F9" s="1"/>
      <c r="G9" s="21">
        <v>1670412.8036958587</v>
      </c>
      <c r="H9" s="1">
        <v>1962</v>
      </c>
      <c r="I9" s="1" t="s">
        <v>265</v>
      </c>
      <c r="J9" s="1">
        <v>26.5</v>
      </c>
      <c r="K9" s="1">
        <v>2</v>
      </c>
      <c r="L9" s="19">
        <v>100.08348038040221</v>
      </c>
      <c r="M9" s="24">
        <v>14.789270346281661</v>
      </c>
      <c r="N9" s="19">
        <v>43.541113997401879</v>
      </c>
      <c r="O9" s="19">
        <v>59.709920424261803</v>
      </c>
      <c r="P9" s="19">
        <v>38.733976752476053</v>
      </c>
      <c r="Q9" s="1">
        <v>2019</v>
      </c>
      <c r="R9" s="19">
        <v>19965</v>
      </c>
      <c r="S9" s="40">
        <f t="shared" si="0"/>
        <v>47.328337058046579</v>
      </c>
      <c r="T9" s="27"/>
      <c r="U9" s="20"/>
      <c r="V9" s="34">
        <f t="shared" ca="1" si="1"/>
        <v>64</v>
      </c>
      <c r="W9" s="18" t="str">
        <f t="shared" ca="1" si="2"/>
        <v>50-75</v>
      </c>
      <c r="X9" s="18"/>
    </row>
    <row r="10" spans="1:28" ht="15" customHeight="1" x14ac:dyDescent="0.25">
      <c r="A10" s="4" t="s">
        <v>7</v>
      </c>
      <c r="B10" s="1" t="s">
        <v>227</v>
      </c>
      <c r="C10" s="1" t="s">
        <v>178</v>
      </c>
      <c r="D10" s="1" t="s">
        <v>163</v>
      </c>
      <c r="E10" s="1">
        <v>1.113</v>
      </c>
      <c r="F10" s="1" t="s">
        <v>241</v>
      </c>
      <c r="G10" s="21">
        <v>4549103.597241817</v>
      </c>
      <c r="H10" s="1">
        <v>1978</v>
      </c>
      <c r="I10" s="1" t="s">
        <v>261</v>
      </c>
      <c r="J10" s="1">
        <v>33.5</v>
      </c>
      <c r="K10" s="1">
        <v>4</v>
      </c>
      <c r="L10" s="19">
        <v>237.68289695302366</v>
      </c>
      <c r="M10" s="24">
        <v>16.699356979198576</v>
      </c>
      <c r="N10" s="19">
        <v>46.028317881485165</v>
      </c>
      <c r="O10" s="19">
        <v>56.797098667649067</v>
      </c>
      <c r="P10" s="19">
        <v>37.061980924164644</v>
      </c>
      <c r="Q10" s="1">
        <v>2019</v>
      </c>
      <c r="R10" s="19">
        <v>12643</v>
      </c>
      <c r="S10" s="40">
        <f t="shared" si="0"/>
        <v>46.629132491099625</v>
      </c>
      <c r="T10" s="27"/>
      <c r="U10" s="20"/>
      <c r="V10" s="34">
        <f t="shared" ca="1" si="1"/>
        <v>48</v>
      </c>
      <c r="W10" s="18" t="str">
        <f t="shared" ca="1" si="2"/>
        <v>25-50</v>
      </c>
      <c r="X10" s="18"/>
    </row>
    <row r="11" spans="1:28" ht="15" customHeight="1" x14ac:dyDescent="0.25">
      <c r="A11" s="4" t="s">
        <v>8</v>
      </c>
      <c r="B11" s="1" t="s">
        <v>227</v>
      </c>
      <c r="C11" s="1" t="s">
        <v>178</v>
      </c>
      <c r="D11" s="1" t="s">
        <v>164</v>
      </c>
      <c r="E11" s="1">
        <v>1.1160000000000001</v>
      </c>
      <c r="F11" s="1" t="s">
        <v>262</v>
      </c>
      <c r="G11" s="21">
        <v>4043723.6028631856</v>
      </c>
      <c r="H11" s="1">
        <v>2000</v>
      </c>
      <c r="I11" s="1" t="s">
        <v>263</v>
      </c>
      <c r="J11" s="1">
        <v>36</v>
      </c>
      <c r="K11" s="1">
        <v>4</v>
      </c>
      <c r="L11" s="19">
        <v>192.19568014145511</v>
      </c>
      <c r="M11" s="24">
        <v>18.904551629944571</v>
      </c>
      <c r="N11" s="19">
        <v>57.561571252601617</v>
      </c>
      <c r="O11" s="19">
        <v>43.654976089352971</v>
      </c>
      <c r="P11" s="19">
        <v>48.700843927645735</v>
      </c>
      <c r="Q11" s="1">
        <v>2021</v>
      </c>
      <c r="R11" s="19">
        <v>6516</v>
      </c>
      <c r="S11" s="40">
        <f t="shared" si="0"/>
        <v>49.972463756533443</v>
      </c>
      <c r="T11" s="27"/>
      <c r="U11" s="20"/>
      <c r="V11" s="34">
        <f t="shared" ca="1" si="1"/>
        <v>26</v>
      </c>
      <c r="W11" s="18" t="str">
        <f t="shared" ca="1" si="2"/>
        <v>25-50</v>
      </c>
      <c r="X11" s="18"/>
    </row>
    <row r="12" spans="1:28" ht="15" customHeight="1" x14ac:dyDescent="0.25">
      <c r="A12" s="4" t="s">
        <v>9</v>
      </c>
      <c r="B12" s="1" t="s">
        <v>227</v>
      </c>
      <c r="C12" s="1" t="s">
        <v>215</v>
      </c>
      <c r="D12" s="1" t="s">
        <v>165</v>
      </c>
      <c r="E12" s="1">
        <v>1.476</v>
      </c>
      <c r="F12" s="1" t="s">
        <v>241</v>
      </c>
      <c r="G12" s="21">
        <v>3478925.460657056</v>
      </c>
      <c r="H12" s="1">
        <v>1959</v>
      </c>
      <c r="I12" s="1" t="s">
        <v>268</v>
      </c>
      <c r="J12" s="1">
        <v>37.799999999999997</v>
      </c>
      <c r="K12" s="1">
        <v>5</v>
      </c>
      <c r="L12" s="19">
        <v>222.32176123008821</v>
      </c>
      <c r="M12" s="24">
        <v>14.715282844925081</v>
      </c>
      <c r="N12" s="19">
        <v>70.830007889215182</v>
      </c>
      <c r="O12" s="19">
        <v>56.773699197745309</v>
      </c>
      <c r="P12" s="19">
        <v>59.717270075373328</v>
      </c>
      <c r="Q12" s="1">
        <v>2021</v>
      </c>
      <c r="R12" s="19">
        <v>7778</v>
      </c>
      <c r="S12" s="40">
        <f t="shared" si="0"/>
        <v>62.440325720777942</v>
      </c>
      <c r="T12" s="27"/>
      <c r="U12" s="20"/>
      <c r="V12" s="34">
        <f t="shared" ca="1" si="1"/>
        <v>67</v>
      </c>
      <c r="W12" s="18" t="str">
        <f t="shared" ca="1" si="2"/>
        <v>50-75</v>
      </c>
      <c r="X12" s="18"/>
    </row>
    <row r="13" spans="1:28" ht="15" customHeight="1" x14ac:dyDescent="0.25">
      <c r="A13" s="4" t="s">
        <v>10</v>
      </c>
      <c r="B13" s="1" t="s">
        <v>227</v>
      </c>
      <c r="C13" s="1" t="s">
        <v>198</v>
      </c>
      <c r="D13" s="1" t="s">
        <v>165</v>
      </c>
      <c r="E13" s="1">
        <v>32.829000000000001</v>
      </c>
      <c r="F13" s="1" t="s">
        <v>241</v>
      </c>
      <c r="G13" s="21">
        <v>352391.52350210596</v>
      </c>
      <c r="H13" s="1">
        <v>1996</v>
      </c>
      <c r="I13" s="1" t="s">
        <v>244</v>
      </c>
      <c r="J13" s="1">
        <v>14</v>
      </c>
      <c r="K13" s="1">
        <v>1</v>
      </c>
      <c r="L13" s="19">
        <v>16.832756558206228</v>
      </c>
      <c r="M13" s="24">
        <v>20.277462192094525</v>
      </c>
      <c r="N13" s="19">
        <v>45.14885531266372</v>
      </c>
      <c r="O13" s="19">
        <v>53.997943051929511</v>
      </c>
      <c r="P13" s="19">
        <v>55.904350534567499</v>
      </c>
      <c r="Q13" s="1">
        <v>2017</v>
      </c>
      <c r="R13" s="19">
        <v>11325</v>
      </c>
      <c r="S13" s="40">
        <f t="shared" si="0"/>
        <v>51.683716299720238</v>
      </c>
      <c r="T13" s="27"/>
      <c r="U13" s="20"/>
      <c r="V13" s="34">
        <f t="shared" ca="1" si="1"/>
        <v>30</v>
      </c>
      <c r="W13" s="18" t="str">
        <f t="shared" ca="1" si="2"/>
        <v>25-50</v>
      </c>
      <c r="X13" s="18"/>
    </row>
    <row r="14" spans="1:28" ht="15" customHeight="1" x14ac:dyDescent="0.25">
      <c r="A14" s="4" t="s">
        <v>11</v>
      </c>
      <c r="B14" s="1" t="s">
        <v>227</v>
      </c>
      <c r="C14" s="1" t="s">
        <v>176</v>
      </c>
      <c r="D14" s="1" t="s">
        <v>165</v>
      </c>
      <c r="E14" s="1">
        <v>10.519</v>
      </c>
      <c r="F14" s="1" t="s">
        <v>262</v>
      </c>
      <c r="G14" s="21">
        <v>5511985.4767215485</v>
      </c>
      <c r="H14" s="1">
        <v>1983</v>
      </c>
      <c r="I14" s="1" t="s">
        <v>260</v>
      </c>
      <c r="J14" s="1">
        <v>56.4</v>
      </c>
      <c r="K14" s="1">
        <v>4</v>
      </c>
      <c r="L14" s="19">
        <v>247.16195402695811</v>
      </c>
      <c r="M14" s="24">
        <v>21.920796703598633</v>
      </c>
      <c r="N14" s="19">
        <v>33.628755838577945</v>
      </c>
      <c r="O14" s="19">
        <v>62.994213943752555</v>
      </c>
      <c r="P14" s="19">
        <v>35.194450109080194</v>
      </c>
      <c r="Q14" s="1">
        <v>2021</v>
      </c>
      <c r="R14" s="19">
        <v>9749</v>
      </c>
      <c r="S14" s="40">
        <f t="shared" si="0"/>
        <v>43.939139963803562</v>
      </c>
      <c r="T14" s="27"/>
      <c r="U14" s="20"/>
      <c r="V14" s="34">
        <f t="shared" ca="1" si="1"/>
        <v>43</v>
      </c>
      <c r="W14" s="18" t="str">
        <f t="shared" ca="1" si="2"/>
        <v>25-50</v>
      </c>
      <c r="X14" s="18"/>
    </row>
    <row r="15" spans="1:28" ht="15" customHeight="1" x14ac:dyDescent="0.25">
      <c r="A15" s="4" t="s">
        <v>12</v>
      </c>
      <c r="B15" s="1" t="s">
        <v>228</v>
      </c>
      <c r="C15" s="1" t="s">
        <v>242</v>
      </c>
      <c r="D15" s="1" t="s">
        <v>165</v>
      </c>
      <c r="E15" s="1">
        <v>7.048</v>
      </c>
      <c r="F15" s="1" t="s">
        <v>241</v>
      </c>
      <c r="G15" s="21">
        <v>802148.87788631732</v>
      </c>
      <c r="H15" s="1">
        <v>1981</v>
      </c>
      <c r="I15" s="1" t="s">
        <v>236</v>
      </c>
      <c r="J15" s="1">
        <v>8.5</v>
      </c>
      <c r="K15" s="1">
        <v>4</v>
      </c>
      <c r="L15" s="19">
        <v>51.853519176691343</v>
      </c>
      <c r="M15" s="24">
        <v>13.954876271232271</v>
      </c>
      <c r="N15" s="19">
        <v>55.610972535679238</v>
      </c>
      <c r="O15" s="19">
        <v>54.303851920352884</v>
      </c>
      <c r="P15" s="19">
        <v>55.145686059204081</v>
      </c>
      <c r="Q15" s="1">
        <v>2021</v>
      </c>
      <c r="R15" s="19">
        <v>16130</v>
      </c>
      <c r="S15" s="40">
        <f t="shared" si="0"/>
        <v>55.020170171745406</v>
      </c>
      <c r="T15" s="27"/>
      <c r="U15" s="20"/>
      <c r="V15" s="34">
        <f t="shared" ca="1" si="1"/>
        <v>45</v>
      </c>
      <c r="W15" s="18" t="str">
        <f t="shared" ca="1" si="2"/>
        <v>25-50</v>
      </c>
      <c r="X15" s="18"/>
    </row>
    <row r="16" spans="1:28" ht="15" customHeight="1" x14ac:dyDescent="0.25">
      <c r="A16" s="4" t="s">
        <v>13</v>
      </c>
      <c r="B16" s="1" t="s">
        <v>227</v>
      </c>
      <c r="C16" s="1" t="s">
        <v>187</v>
      </c>
      <c r="D16" s="1" t="s">
        <v>165</v>
      </c>
      <c r="E16" s="1">
        <v>33.5</v>
      </c>
      <c r="F16" s="1" t="s">
        <v>241</v>
      </c>
      <c r="G16" s="21">
        <v>2857194.493205219</v>
      </c>
      <c r="H16" s="1">
        <v>1904</v>
      </c>
      <c r="I16" s="1" t="s">
        <v>271</v>
      </c>
      <c r="J16" s="1">
        <v>41.5</v>
      </c>
      <c r="K16" s="1">
        <v>5</v>
      </c>
      <c r="L16" s="19">
        <v>319.07680372587504</v>
      </c>
      <c r="M16" s="24">
        <v>8.6370149064671509</v>
      </c>
      <c r="N16" s="19">
        <v>73.073720689352314</v>
      </c>
      <c r="O16" s="19">
        <v>57.52137180795976</v>
      </c>
      <c r="P16" s="19">
        <v>31.470164496189561</v>
      </c>
      <c r="Q16" s="1">
        <v>2020</v>
      </c>
      <c r="R16" s="19">
        <v>5048</v>
      </c>
      <c r="S16" s="40">
        <f t="shared" si="0"/>
        <v>54.021752331167214</v>
      </c>
      <c r="T16" s="27"/>
      <c r="U16" s="20"/>
      <c r="V16" s="34">
        <f t="shared" ca="1" si="1"/>
        <v>122</v>
      </c>
      <c r="W16" s="18" t="b">
        <f t="shared" ca="1" si="2"/>
        <v>0</v>
      </c>
      <c r="X16" s="18"/>
    </row>
    <row r="17" spans="1:24" ht="15" customHeight="1" x14ac:dyDescent="0.25">
      <c r="A17" s="4" t="s">
        <v>14</v>
      </c>
      <c r="B17" s="1" t="s">
        <v>227</v>
      </c>
      <c r="C17" s="1" t="s">
        <v>175</v>
      </c>
      <c r="D17" s="1" t="s">
        <v>165</v>
      </c>
      <c r="E17" s="1">
        <v>1.1519999999999999</v>
      </c>
      <c r="F17" s="1" t="s">
        <v>262</v>
      </c>
      <c r="G17" s="21">
        <v>1146988.4068193901</v>
      </c>
      <c r="H17" s="1">
        <v>1956</v>
      </c>
      <c r="I17" s="1" t="s">
        <v>268</v>
      </c>
      <c r="J17" s="1">
        <v>24.4</v>
      </c>
      <c r="K17" s="1">
        <v>3</v>
      </c>
      <c r="L17" s="19">
        <v>112.50401489745974</v>
      </c>
      <c r="M17" s="24">
        <v>9.3099227183538069</v>
      </c>
      <c r="N17" s="19">
        <v>62.857762728101456</v>
      </c>
      <c r="O17" s="19">
        <v>59.001076861135765</v>
      </c>
      <c r="P17" s="19">
        <v>50.996788235574897</v>
      </c>
      <c r="Q17" s="1">
        <v>2021</v>
      </c>
      <c r="R17" s="19">
        <v>9772</v>
      </c>
      <c r="S17" s="40">
        <f t="shared" si="0"/>
        <v>57.618542608270708</v>
      </c>
      <c r="T17" s="27"/>
      <c r="U17" s="20"/>
      <c r="V17" s="34">
        <f t="shared" ca="1" si="1"/>
        <v>70</v>
      </c>
      <c r="W17" s="18" t="str">
        <f t="shared" ca="1" si="2"/>
        <v>50-75</v>
      </c>
      <c r="X17" s="18"/>
    </row>
    <row r="18" spans="1:24" ht="15" customHeight="1" x14ac:dyDescent="0.25">
      <c r="A18" s="4" t="s">
        <v>15</v>
      </c>
      <c r="B18" s="1" t="s">
        <v>227</v>
      </c>
      <c r="C18" s="1" t="s">
        <v>189</v>
      </c>
      <c r="D18" s="1" t="s">
        <v>165</v>
      </c>
      <c r="E18" s="1">
        <v>1.4999999999999999E-2</v>
      </c>
      <c r="F18" s="1" t="s">
        <v>241</v>
      </c>
      <c r="G18" s="21">
        <v>1786568.9542627223</v>
      </c>
      <c r="H18" s="1">
        <v>1960</v>
      </c>
      <c r="I18" s="1" t="s">
        <v>271</v>
      </c>
      <c r="J18" s="1">
        <v>29</v>
      </c>
      <c r="K18" s="1">
        <v>4</v>
      </c>
      <c r="L18" s="19">
        <v>120.17178417421088</v>
      </c>
      <c r="M18" s="24">
        <v>13.504347150109094</v>
      </c>
      <c r="N18" s="19">
        <v>47.32805845397467</v>
      </c>
      <c r="O18" s="19">
        <v>52.979806399255523</v>
      </c>
      <c r="P18" s="19">
        <v>28.493290172943915</v>
      </c>
      <c r="Q18" s="1">
        <v>2020</v>
      </c>
      <c r="R18" s="19">
        <v>6628</v>
      </c>
      <c r="S18" s="40">
        <f t="shared" si="0"/>
        <v>42.933718342058036</v>
      </c>
      <c r="T18" s="27"/>
      <c r="U18" s="20"/>
      <c r="V18" s="34">
        <f t="shared" ca="1" si="1"/>
        <v>66</v>
      </c>
      <c r="W18" s="18" t="str">
        <f t="shared" ca="1" si="2"/>
        <v>50-75</v>
      </c>
      <c r="X18" s="18"/>
    </row>
    <row r="19" spans="1:24" ht="15" customHeight="1" x14ac:dyDescent="0.25">
      <c r="A19" s="4" t="s">
        <v>16</v>
      </c>
      <c r="B19" s="1" t="s">
        <v>227</v>
      </c>
      <c r="C19" s="1" t="s">
        <v>186</v>
      </c>
      <c r="D19" s="1" t="s">
        <v>165</v>
      </c>
      <c r="E19" s="1">
        <v>26.451000000000001</v>
      </c>
      <c r="F19" s="1" t="s">
        <v>262</v>
      </c>
      <c r="G19" s="21">
        <v>1684041.0413914879</v>
      </c>
      <c r="H19" s="1">
        <v>1963</v>
      </c>
      <c r="I19" s="1" t="s">
        <v>271</v>
      </c>
      <c r="J19" s="1">
        <v>25.9</v>
      </c>
      <c r="K19" s="1">
        <v>2</v>
      </c>
      <c r="L19" s="19">
        <v>91.729318074843064</v>
      </c>
      <c r="M19" s="24">
        <v>16.078839511543844</v>
      </c>
      <c r="N19" s="19">
        <v>61.4364066526187</v>
      </c>
      <c r="O19" s="19">
        <v>52.465629555934811</v>
      </c>
      <c r="P19" s="19">
        <v>51.531868677986886</v>
      </c>
      <c r="Q19" s="1">
        <v>2017</v>
      </c>
      <c r="R19" s="19">
        <v>1923</v>
      </c>
      <c r="S19" s="40">
        <f t="shared" si="0"/>
        <v>55.144634962180135</v>
      </c>
      <c r="T19" s="27"/>
      <c r="U19" s="20"/>
      <c r="V19" s="34">
        <f t="shared" ca="1" si="1"/>
        <v>63</v>
      </c>
      <c r="W19" s="18" t="str">
        <f t="shared" ca="1" si="2"/>
        <v>50-75</v>
      </c>
      <c r="X19" s="18"/>
    </row>
    <row r="20" spans="1:24" ht="15" customHeight="1" x14ac:dyDescent="0.25">
      <c r="A20" s="4" t="s">
        <v>17</v>
      </c>
      <c r="B20" s="1" t="s">
        <v>227</v>
      </c>
      <c r="C20" s="1" t="s">
        <v>217</v>
      </c>
      <c r="D20" s="1" t="s">
        <v>165</v>
      </c>
      <c r="E20" s="1">
        <v>24.443999999999999</v>
      </c>
      <c r="F20" s="1" t="s">
        <v>262</v>
      </c>
      <c r="G20" s="21">
        <v>689996.81518236233</v>
      </c>
      <c r="H20" s="1">
        <v>1996</v>
      </c>
      <c r="I20" s="1" t="s">
        <v>244</v>
      </c>
      <c r="J20" s="1">
        <v>12</v>
      </c>
      <c r="K20" s="1">
        <v>3</v>
      </c>
      <c r="L20" s="19">
        <v>42.016513506110186</v>
      </c>
      <c r="M20" s="24">
        <v>16.045810559088345</v>
      </c>
      <c r="N20" s="19">
        <v>57.212576983086869</v>
      </c>
      <c r="O20" s="19">
        <v>50.26149053947475</v>
      </c>
      <c r="P20" s="19">
        <v>38.575307944534657</v>
      </c>
      <c r="Q20" s="1">
        <v>2021</v>
      </c>
      <c r="R20" s="19">
        <v>3970</v>
      </c>
      <c r="S20" s="40">
        <f t="shared" si="0"/>
        <v>48.683125155698768</v>
      </c>
      <c r="T20" s="27"/>
      <c r="U20" s="20"/>
      <c r="V20" s="34">
        <f t="shared" ca="1" si="1"/>
        <v>30</v>
      </c>
      <c r="W20" s="18" t="str">
        <f t="shared" ca="1" si="2"/>
        <v>25-50</v>
      </c>
      <c r="X20" s="18"/>
    </row>
    <row r="21" spans="1:24" ht="15" customHeight="1" x14ac:dyDescent="0.25">
      <c r="A21" s="4" t="s">
        <v>18</v>
      </c>
      <c r="B21" s="1" t="s">
        <v>227</v>
      </c>
      <c r="C21" s="1" t="s">
        <v>190</v>
      </c>
      <c r="D21" s="1" t="s">
        <v>165</v>
      </c>
      <c r="E21" s="1">
        <v>37.826999999999998</v>
      </c>
      <c r="F21" s="1" t="s">
        <v>241</v>
      </c>
      <c r="G21" s="21">
        <v>2796556.153220111</v>
      </c>
      <c r="H21" s="1">
        <v>1966</v>
      </c>
      <c r="I21" s="1" t="s">
        <v>248</v>
      </c>
      <c r="J21" s="1">
        <v>26.8</v>
      </c>
      <c r="K21" s="1">
        <v>5</v>
      </c>
      <c r="L21" s="19">
        <v>186.87176047010547</v>
      </c>
      <c r="M21" s="24">
        <v>14.457405472032102</v>
      </c>
      <c r="N21" s="19">
        <v>65.579505801336651</v>
      </c>
      <c r="O21" s="19">
        <v>60.02200492865294</v>
      </c>
      <c r="P21" s="19">
        <v>59.066107088112538</v>
      </c>
      <c r="Q21" s="1">
        <v>2021</v>
      </c>
      <c r="R21" s="19">
        <v>11230</v>
      </c>
      <c r="S21" s="40">
        <f t="shared" si="0"/>
        <v>61.55587260603405</v>
      </c>
      <c r="T21" s="27"/>
      <c r="U21" s="20"/>
      <c r="V21" s="34">
        <f t="shared" ca="1" si="1"/>
        <v>60</v>
      </c>
      <c r="W21" s="18" t="str">
        <f t="shared" ca="1" si="2"/>
        <v>50-75</v>
      </c>
      <c r="X21" s="18"/>
    </row>
    <row r="22" spans="1:24" ht="15" customHeight="1" x14ac:dyDescent="0.25">
      <c r="A22" s="4" t="s">
        <v>19</v>
      </c>
      <c r="B22" s="1" t="s">
        <v>228</v>
      </c>
      <c r="C22" s="1" t="s">
        <v>220</v>
      </c>
      <c r="D22" s="1" t="s">
        <v>165</v>
      </c>
      <c r="E22" s="1">
        <v>17.350999999999999</v>
      </c>
      <c r="F22" s="1" t="s">
        <v>262</v>
      </c>
      <c r="G22" s="21">
        <v>132489.09843738575</v>
      </c>
      <c r="H22" s="1">
        <v>1993</v>
      </c>
      <c r="I22" s="1" t="s">
        <v>239</v>
      </c>
      <c r="J22" s="1">
        <v>6</v>
      </c>
      <c r="K22" s="1">
        <v>1</v>
      </c>
      <c r="L22" s="19">
        <v>8.7998387930865718</v>
      </c>
      <c r="M22" s="24">
        <v>13.471621177097791</v>
      </c>
      <c r="N22" s="19">
        <v>31.309212585456724</v>
      </c>
      <c r="O22" s="19">
        <v>61.038036116173863</v>
      </c>
      <c r="P22" s="19">
        <v>40.371649387707173</v>
      </c>
      <c r="Q22" s="1">
        <v>2019</v>
      </c>
      <c r="R22" s="19">
        <v>7557</v>
      </c>
      <c r="S22" s="40">
        <f t="shared" si="0"/>
        <v>44.239632696445916</v>
      </c>
      <c r="T22" s="27"/>
      <c r="U22" s="20"/>
      <c r="V22" s="34">
        <f t="shared" ca="1" si="1"/>
        <v>33</v>
      </c>
      <c r="W22" s="18" t="str">
        <f t="shared" ca="1" si="2"/>
        <v>25-50</v>
      </c>
      <c r="X22" s="18"/>
    </row>
    <row r="23" spans="1:24" ht="15" customHeight="1" x14ac:dyDescent="0.25">
      <c r="A23" s="4" t="s">
        <v>20</v>
      </c>
      <c r="B23" s="1" t="s">
        <v>227</v>
      </c>
      <c r="C23" s="1" t="s">
        <v>204</v>
      </c>
      <c r="D23" s="1" t="s">
        <v>165</v>
      </c>
      <c r="E23" s="1">
        <v>12.084</v>
      </c>
      <c r="F23" s="1" t="s">
        <v>262</v>
      </c>
      <c r="G23" s="21">
        <v>832057.73114503641</v>
      </c>
      <c r="H23" s="1">
        <v>1979</v>
      </c>
      <c r="I23" s="1" t="s">
        <v>238</v>
      </c>
      <c r="J23" s="1">
        <v>16.8</v>
      </c>
      <c r="K23" s="1">
        <v>3</v>
      </c>
      <c r="L23" s="19">
        <v>65.492900646833604</v>
      </c>
      <c r="M23" s="24">
        <v>10.791886286965916</v>
      </c>
      <c r="N23" s="19">
        <v>44.662120375208787</v>
      </c>
      <c r="O23" s="19">
        <v>71.318166350356151</v>
      </c>
      <c r="P23" s="19">
        <v>33.823384631200724</v>
      </c>
      <c r="Q23" s="1">
        <v>2019</v>
      </c>
      <c r="R23" s="19">
        <v>1104</v>
      </c>
      <c r="S23" s="40">
        <f t="shared" si="0"/>
        <v>49.934557118921894</v>
      </c>
      <c r="T23" s="27"/>
      <c r="U23" s="20"/>
      <c r="V23" s="34">
        <f t="shared" ca="1" si="1"/>
        <v>47</v>
      </c>
      <c r="W23" s="18" t="str">
        <f t="shared" ca="1" si="2"/>
        <v>25-50</v>
      </c>
      <c r="X23" s="18"/>
    </row>
    <row r="24" spans="1:24" ht="15" customHeight="1" x14ac:dyDescent="0.25">
      <c r="A24" s="4" t="s">
        <v>21</v>
      </c>
      <c r="B24" s="1" t="s">
        <v>228</v>
      </c>
      <c r="C24" s="1" t="s">
        <v>205</v>
      </c>
      <c r="D24" s="1" t="s">
        <v>165</v>
      </c>
      <c r="E24" s="1">
        <v>3.5870000000000002</v>
      </c>
      <c r="F24" s="1" t="s">
        <v>262</v>
      </c>
      <c r="G24" s="21">
        <v>842900.82901747467</v>
      </c>
      <c r="H24" s="1">
        <v>1994</v>
      </c>
      <c r="I24" s="1" t="s">
        <v>239</v>
      </c>
      <c r="J24" s="1">
        <v>8.5</v>
      </c>
      <c r="K24" s="1">
        <v>3</v>
      </c>
      <c r="L24" s="19">
        <v>48.610820406565452</v>
      </c>
      <c r="M24" s="24">
        <v>15.768949899351082</v>
      </c>
      <c r="N24" s="19">
        <v>57.064288622413279</v>
      </c>
      <c r="O24" s="19">
        <v>57.467318194283017</v>
      </c>
      <c r="P24" s="19">
        <v>34.388013121605624</v>
      </c>
      <c r="Q24" s="1">
        <v>2017</v>
      </c>
      <c r="R24" s="19">
        <v>1098</v>
      </c>
      <c r="S24" s="40">
        <f t="shared" si="0"/>
        <v>49.639873312767314</v>
      </c>
      <c r="T24" s="27"/>
      <c r="U24" s="20"/>
      <c r="V24" s="34">
        <f t="shared" ca="1" si="1"/>
        <v>32</v>
      </c>
      <c r="W24" s="18" t="str">
        <f t="shared" ca="1" si="2"/>
        <v>25-50</v>
      </c>
      <c r="X24" s="18"/>
    </row>
    <row r="25" spans="1:24" ht="15" customHeight="1" x14ac:dyDescent="0.25">
      <c r="A25" s="4" t="s">
        <v>22</v>
      </c>
      <c r="B25" s="1" t="s">
        <v>228</v>
      </c>
      <c r="C25" s="1" t="s">
        <v>190</v>
      </c>
      <c r="D25" s="1" t="s">
        <v>165</v>
      </c>
      <c r="E25" s="1">
        <v>12.398999999999999</v>
      </c>
      <c r="F25" s="1" t="s">
        <v>266</v>
      </c>
      <c r="G25" s="21">
        <v>435772.74309782957</v>
      </c>
      <c r="H25" s="1">
        <v>1974</v>
      </c>
      <c r="I25" s="1" t="s">
        <v>247</v>
      </c>
      <c r="J25" s="1">
        <v>8.5</v>
      </c>
      <c r="K25" s="1">
        <v>3</v>
      </c>
      <c r="L25" s="19">
        <v>27.84372926792572</v>
      </c>
      <c r="M25" s="24">
        <v>15.470679280880953</v>
      </c>
      <c r="N25" s="19">
        <v>62.773096239931647</v>
      </c>
      <c r="O25" s="19">
        <v>62.032386904027561</v>
      </c>
      <c r="P25" s="19">
        <v>66.218003908982652</v>
      </c>
      <c r="Q25" s="1">
        <v>2019</v>
      </c>
      <c r="R25" s="19">
        <v>7095</v>
      </c>
      <c r="S25" s="40">
        <f t="shared" si="0"/>
        <v>63.674495684313946</v>
      </c>
      <c r="T25" s="27"/>
      <c r="U25" s="20"/>
      <c r="V25" s="34">
        <f t="shared" ca="1" si="1"/>
        <v>52</v>
      </c>
      <c r="W25" s="18" t="str">
        <f t="shared" ca="1" si="2"/>
        <v>50-75</v>
      </c>
      <c r="X25" s="18"/>
    </row>
    <row r="26" spans="1:24" ht="15" customHeight="1" x14ac:dyDescent="0.25">
      <c r="A26" s="4" t="s">
        <v>23</v>
      </c>
      <c r="B26" s="1" t="s">
        <v>227</v>
      </c>
      <c r="C26" s="1" t="s">
        <v>202</v>
      </c>
      <c r="D26" s="1" t="s">
        <v>165</v>
      </c>
      <c r="E26" s="1">
        <v>1.9770000000000001</v>
      </c>
      <c r="F26" s="1" t="s">
        <v>241</v>
      </c>
      <c r="G26" s="21">
        <v>2859857.6006403971</v>
      </c>
      <c r="H26" s="1">
        <v>1970</v>
      </c>
      <c r="I26" s="1" t="s">
        <v>271</v>
      </c>
      <c r="J26" s="1">
        <v>30.5</v>
      </c>
      <c r="K26" s="1">
        <v>4</v>
      </c>
      <c r="L26" s="19">
        <v>214.12840752514947</v>
      </c>
      <c r="M26" s="24">
        <v>13.054156866835967</v>
      </c>
      <c r="N26" s="19">
        <v>61.013030425349072</v>
      </c>
      <c r="O26" s="19">
        <v>56.458750219823195</v>
      </c>
      <c r="P26" s="19">
        <v>41.395855298327405</v>
      </c>
      <c r="Q26" s="1">
        <v>2017</v>
      </c>
      <c r="R26" s="19">
        <v>16521</v>
      </c>
      <c r="S26" s="40">
        <f t="shared" si="0"/>
        <v>52.955878647833224</v>
      </c>
      <c r="T26" s="27"/>
      <c r="U26" s="20"/>
      <c r="V26" s="34">
        <f t="shared" ca="1" si="1"/>
        <v>56</v>
      </c>
      <c r="W26" s="18" t="str">
        <f t="shared" ca="1" si="2"/>
        <v>50-75</v>
      </c>
      <c r="X26" s="18"/>
    </row>
    <row r="27" spans="1:24" ht="15" customHeight="1" x14ac:dyDescent="0.25">
      <c r="A27" s="4" t="s">
        <v>24</v>
      </c>
      <c r="B27" s="1" t="s">
        <v>227</v>
      </c>
      <c r="C27" s="1" t="s">
        <v>198</v>
      </c>
      <c r="D27" s="1" t="s">
        <v>165</v>
      </c>
      <c r="E27" s="1">
        <v>11.715</v>
      </c>
      <c r="F27" s="1" t="s">
        <v>241</v>
      </c>
      <c r="G27" s="21">
        <v>1678195.1353252209</v>
      </c>
      <c r="H27" s="1">
        <v>1998</v>
      </c>
      <c r="I27" s="1" t="s">
        <v>244</v>
      </c>
      <c r="J27" s="1">
        <v>12.6</v>
      </c>
      <c r="K27" s="1">
        <v>3</v>
      </c>
      <c r="L27" s="19">
        <v>56.689945054940026</v>
      </c>
      <c r="M27" s="24">
        <v>25.050852749884086</v>
      </c>
      <c r="N27" s="19">
        <v>55.636240646950782</v>
      </c>
      <c r="O27" s="19">
        <v>59.987836932724036</v>
      </c>
      <c r="P27" s="19">
        <v>45.433357042383648</v>
      </c>
      <c r="Q27" s="1">
        <v>2019</v>
      </c>
      <c r="R27" s="19">
        <v>8037</v>
      </c>
      <c r="S27" s="40">
        <f t="shared" si="0"/>
        <v>53.685811540686153</v>
      </c>
      <c r="T27" s="27"/>
      <c r="U27" s="20"/>
      <c r="V27" s="34">
        <f t="shared" ca="1" si="1"/>
        <v>28</v>
      </c>
      <c r="W27" s="18" t="str">
        <f t="shared" ca="1" si="2"/>
        <v>25-50</v>
      </c>
      <c r="X27" s="18"/>
    </row>
    <row r="28" spans="1:24" ht="15" customHeight="1" x14ac:dyDescent="0.25">
      <c r="A28" s="4" t="s">
        <v>25</v>
      </c>
      <c r="B28" s="1" t="s">
        <v>227</v>
      </c>
      <c r="C28" s="1" t="s">
        <v>192</v>
      </c>
      <c r="D28" s="1" t="s">
        <v>165</v>
      </c>
      <c r="E28" s="1">
        <v>1.516</v>
      </c>
      <c r="F28" s="1" t="s">
        <v>262</v>
      </c>
      <c r="G28" s="21">
        <v>761346.12139838212</v>
      </c>
      <c r="H28" s="1">
        <v>1974</v>
      </c>
      <c r="I28" s="1" t="s">
        <v>249</v>
      </c>
      <c r="J28" s="1">
        <v>15.2</v>
      </c>
      <c r="K28" s="1">
        <v>3</v>
      </c>
      <c r="L28" s="19">
        <v>59.392316497314042</v>
      </c>
      <c r="M28" s="24">
        <v>12.722577260722939</v>
      </c>
      <c r="N28" s="19">
        <v>56.910641707782766</v>
      </c>
      <c r="O28" s="19">
        <v>65.732611608242252</v>
      </c>
      <c r="P28" s="19">
        <v>40.525033869879664</v>
      </c>
      <c r="Q28" s="1">
        <v>2017</v>
      </c>
      <c r="R28" s="19">
        <v>16827</v>
      </c>
      <c r="S28" s="40">
        <f t="shared" si="0"/>
        <v>54.389429061968222</v>
      </c>
      <c r="T28" s="27"/>
      <c r="U28" s="20"/>
      <c r="V28" s="34">
        <f t="shared" ca="1" si="1"/>
        <v>52</v>
      </c>
      <c r="W28" s="18" t="str">
        <f t="shared" ca="1" si="2"/>
        <v>50-75</v>
      </c>
      <c r="X28" s="18"/>
    </row>
    <row r="29" spans="1:24" ht="15" customHeight="1" x14ac:dyDescent="0.25">
      <c r="A29" s="4" t="s">
        <v>26</v>
      </c>
      <c r="B29" s="1" t="s">
        <v>227</v>
      </c>
      <c r="C29" s="1" t="s">
        <v>222</v>
      </c>
      <c r="D29" s="1" t="s">
        <v>165</v>
      </c>
      <c r="E29" s="1">
        <v>16.010999999999999</v>
      </c>
      <c r="F29" s="1" t="s">
        <v>241</v>
      </c>
      <c r="G29" s="21">
        <v>2387218.7811095775</v>
      </c>
      <c r="H29" s="1">
        <v>1969</v>
      </c>
      <c r="I29" s="1" t="s">
        <v>261</v>
      </c>
      <c r="J29" s="1">
        <v>27.4</v>
      </c>
      <c r="K29" s="1">
        <v>3</v>
      </c>
      <c r="L29" s="19">
        <v>133.67393662544885</v>
      </c>
      <c r="M29" s="24">
        <v>17.267342958095995</v>
      </c>
      <c r="N29" s="19">
        <v>48.802936331099474</v>
      </c>
      <c r="O29" s="19">
        <v>71.38028718536151</v>
      </c>
      <c r="P29" s="19">
        <v>45.15270689401688</v>
      </c>
      <c r="Q29" s="1">
        <v>2021</v>
      </c>
      <c r="R29" s="19">
        <v>3755</v>
      </c>
      <c r="S29" s="40">
        <f t="shared" si="0"/>
        <v>55.111976803492617</v>
      </c>
      <c r="T29" s="27"/>
      <c r="U29" s="20"/>
      <c r="V29" s="34">
        <f t="shared" ca="1" si="1"/>
        <v>57</v>
      </c>
      <c r="W29" s="18" t="str">
        <f t="shared" ca="1" si="2"/>
        <v>50-75</v>
      </c>
      <c r="X29" s="18"/>
    </row>
    <row r="30" spans="1:24" ht="15" customHeight="1" x14ac:dyDescent="0.25">
      <c r="A30" s="4" t="s">
        <v>27</v>
      </c>
      <c r="B30" s="1" t="s">
        <v>227</v>
      </c>
      <c r="C30" s="1" t="s">
        <v>218</v>
      </c>
      <c r="D30" s="1" t="s">
        <v>165</v>
      </c>
      <c r="E30" s="1">
        <v>12.897</v>
      </c>
      <c r="F30" s="1" t="s">
        <v>262</v>
      </c>
      <c r="G30" s="21">
        <v>1339916.9429461097</v>
      </c>
      <c r="H30" s="1">
        <v>1969</v>
      </c>
      <c r="I30" s="1" t="s">
        <v>271</v>
      </c>
      <c r="J30" s="1">
        <v>24.4</v>
      </c>
      <c r="K30" s="1">
        <v>3</v>
      </c>
      <c r="L30" s="19">
        <v>119.58678046304838</v>
      </c>
      <c r="M30" s="24">
        <v>11.097089452192121</v>
      </c>
      <c r="N30" s="19">
        <v>56.852788193599572</v>
      </c>
      <c r="O30" s="19">
        <v>52.221576838460145</v>
      </c>
      <c r="P30" s="19">
        <v>46.283304022830734</v>
      </c>
      <c r="Q30" s="1">
        <v>2017</v>
      </c>
      <c r="R30" s="19">
        <v>3034</v>
      </c>
      <c r="S30" s="40">
        <f t="shared" si="0"/>
        <v>51.785889684963479</v>
      </c>
      <c r="T30" s="27"/>
      <c r="U30" s="20"/>
      <c r="V30" s="34">
        <f t="shared" ca="1" si="1"/>
        <v>57</v>
      </c>
      <c r="W30" s="18" t="str">
        <f t="shared" ca="1" si="2"/>
        <v>50-75</v>
      </c>
      <c r="X30" s="18"/>
    </row>
    <row r="31" spans="1:24" ht="15" customHeight="1" x14ac:dyDescent="0.25">
      <c r="A31" s="4" t="s">
        <v>28</v>
      </c>
      <c r="B31" s="1" t="s">
        <v>227</v>
      </c>
      <c r="C31" s="1" t="s">
        <v>191</v>
      </c>
      <c r="D31" s="1" t="s">
        <v>165</v>
      </c>
      <c r="E31" s="1">
        <v>18.64</v>
      </c>
      <c r="F31" s="1" t="s">
        <v>241</v>
      </c>
      <c r="G31" s="21">
        <v>1138863.9217678781</v>
      </c>
      <c r="H31" s="1">
        <v>1967</v>
      </c>
      <c r="I31" s="1" t="s">
        <v>273</v>
      </c>
      <c r="J31" s="1">
        <v>21.3</v>
      </c>
      <c r="K31" s="1">
        <v>3</v>
      </c>
      <c r="L31" s="19">
        <v>85.167685738140449</v>
      </c>
      <c r="M31" s="24">
        <v>11.393140584294535</v>
      </c>
      <c r="N31" s="19">
        <v>55.15384621754098</v>
      </c>
      <c r="O31" s="19">
        <v>71.879375463932675</v>
      </c>
      <c r="P31" s="19">
        <v>32.685139364658397</v>
      </c>
      <c r="Q31" s="1">
        <v>2018</v>
      </c>
      <c r="R31" s="19">
        <v>4489</v>
      </c>
      <c r="S31" s="40">
        <f t="shared" si="0"/>
        <v>53.239453682044022</v>
      </c>
      <c r="T31" s="27"/>
      <c r="U31" s="20"/>
      <c r="V31" s="34">
        <f t="shared" ca="1" si="1"/>
        <v>59</v>
      </c>
      <c r="W31" s="18" t="str">
        <f t="shared" ca="1" si="2"/>
        <v>50-75</v>
      </c>
      <c r="X31" s="18"/>
    </row>
    <row r="32" spans="1:24" ht="15" customHeight="1" x14ac:dyDescent="0.25">
      <c r="A32" s="4" t="s">
        <v>29</v>
      </c>
      <c r="B32" s="1" t="s">
        <v>227</v>
      </c>
      <c r="C32" s="1" t="s">
        <v>186</v>
      </c>
      <c r="D32" s="1" t="s">
        <v>165</v>
      </c>
      <c r="E32" s="1">
        <v>12.218999999999999</v>
      </c>
      <c r="F32" s="1" t="s">
        <v>262</v>
      </c>
      <c r="G32" s="21">
        <v>1438079.524160655</v>
      </c>
      <c r="H32" s="1">
        <v>1956</v>
      </c>
      <c r="I32" s="1" t="s">
        <v>271</v>
      </c>
      <c r="J32" s="1">
        <v>27.4</v>
      </c>
      <c r="K32" s="1">
        <v>3</v>
      </c>
      <c r="L32" s="19">
        <v>84.819029600665019</v>
      </c>
      <c r="M32" s="24">
        <v>14.192253320839027</v>
      </c>
      <c r="N32" s="19">
        <v>50.665407792600433</v>
      </c>
      <c r="O32" s="19">
        <v>61.063849499627416</v>
      </c>
      <c r="P32" s="19">
        <v>38.859279129796207</v>
      </c>
      <c r="Q32" s="1">
        <v>2020</v>
      </c>
      <c r="R32" s="19">
        <v>19134</v>
      </c>
      <c r="S32" s="40">
        <f t="shared" si="0"/>
        <v>50.196178807341347</v>
      </c>
      <c r="T32" s="27"/>
      <c r="U32" s="20"/>
      <c r="V32" s="34">
        <f t="shared" ca="1" si="1"/>
        <v>70</v>
      </c>
      <c r="W32" s="18" t="str">
        <f t="shared" ca="1" si="2"/>
        <v>50-75</v>
      </c>
      <c r="X32" s="18"/>
    </row>
    <row r="33" spans="1:24" ht="15" customHeight="1" x14ac:dyDescent="0.25">
      <c r="A33" s="4" t="s">
        <v>30</v>
      </c>
      <c r="B33" s="1" t="s">
        <v>227</v>
      </c>
      <c r="C33" s="1" t="s">
        <v>225</v>
      </c>
      <c r="D33" s="1" t="s">
        <v>165</v>
      </c>
      <c r="E33" s="1">
        <v>1.5389999999999999</v>
      </c>
      <c r="F33" s="1" t="s">
        <v>241</v>
      </c>
      <c r="G33" s="21">
        <v>3913923.3155466379</v>
      </c>
      <c r="H33" s="1">
        <v>1968</v>
      </c>
      <c r="I33" s="1" t="s">
        <v>265</v>
      </c>
      <c r="J33" s="1">
        <v>34.4</v>
      </c>
      <c r="K33" s="1">
        <v>5</v>
      </c>
      <c r="L33" s="19">
        <v>203.34497120582591</v>
      </c>
      <c r="M33" s="24">
        <v>17.956317364599204</v>
      </c>
      <c r="N33" s="19">
        <v>56.237783435512753</v>
      </c>
      <c r="O33" s="19">
        <v>66.274476769306176</v>
      </c>
      <c r="P33" s="19">
        <v>36.081154622704531</v>
      </c>
      <c r="Q33" s="1">
        <v>2017</v>
      </c>
      <c r="R33" s="19">
        <v>10188</v>
      </c>
      <c r="S33" s="40">
        <f t="shared" si="0"/>
        <v>52.864471609174494</v>
      </c>
      <c r="T33" s="27"/>
      <c r="U33" s="20"/>
      <c r="V33" s="34">
        <f t="shared" ca="1" si="1"/>
        <v>58</v>
      </c>
      <c r="W33" s="18" t="str">
        <f t="shared" ca="1" si="2"/>
        <v>50-75</v>
      </c>
      <c r="X33" s="18"/>
    </row>
    <row r="34" spans="1:24" ht="15" customHeight="1" x14ac:dyDescent="0.25">
      <c r="A34" s="4" t="s">
        <v>31</v>
      </c>
      <c r="B34" s="1" t="s">
        <v>228</v>
      </c>
      <c r="C34" s="1" t="s">
        <v>211</v>
      </c>
      <c r="D34" s="1" t="s">
        <v>163</v>
      </c>
      <c r="E34" s="1">
        <v>23.52</v>
      </c>
      <c r="F34" s="1" t="s">
        <v>269</v>
      </c>
      <c r="G34" s="21">
        <v>1285477.1251813972</v>
      </c>
      <c r="H34" s="1">
        <v>1968</v>
      </c>
      <c r="I34" s="1" t="s">
        <v>247</v>
      </c>
      <c r="J34" s="1">
        <v>6.1</v>
      </c>
      <c r="K34" s="1">
        <v>6</v>
      </c>
      <c r="L34" s="19">
        <v>48.823638182174093</v>
      </c>
      <c r="M34" s="24">
        <v>25.608833477134141</v>
      </c>
      <c r="N34" s="19">
        <v>43.650497691167843</v>
      </c>
      <c r="O34" s="19">
        <v>77.617700767992488</v>
      </c>
      <c r="P34" s="19">
        <v>60.247658384669009</v>
      </c>
      <c r="Q34" s="1">
        <v>2021</v>
      </c>
      <c r="R34" s="19">
        <v>13004</v>
      </c>
      <c r="S34" s="40">
        <f t="shared" si="0"/>
        <v>60.505285614609782</v>
      </c>
      <c r="T34" s="27"/>
      <c r="U34" s="20"/>
      <c r="V34" s="34">
        <f t="shared" ca="1" si="1"/>
        <v>58</v>
      </c>
      <c r="W34" s="18" t="str">
        <f t="shared" ca="1" si="2"/>
        <v>50-75</v>
      </c>
      <c r="X34" s="18"/>
    </row>
    <row r="35" spans="1:24" ht="15" customHeight="1" x14ac:dyDescent="0.25">
      <c r="A35" s="4" t="s">
        <v>32</v>
      </c>
      <c r="B35" s="1" t="s">
        <v>227</v>
      </c>
      <c r="C35" s="1" t="s">
        <v>211</v>
      </c>
      <c r="D35" s="1" t="s">
        <v>164</v>
      </c>
      <c r="E35" s="1">
        <v>23.524999999999999</v>
      </c>
      <c r="F35" s="1" t="s">
        <v>269</v>
      </c>
      <c r="G35" s="21">
        <v>1077559.8338131174</v>
      </c>
      <c r="H35" s="1">
        <v>1997</v>
      </c>
      <c r="I35" s="1" t="s">
        <v>244</v>
      </c>
      <c r="J35" s="1">
        <v>13</v>
      </c>
      <c r="K35" s="1">
        <v>3</v>
      </c>
      <c r="L35" s="19">
        <v>47.242770985827846</v>
      </c>
      <c r="M35" s="24">
        <v>20.9206350008199</v>
      </c>
      <c r="N35" s="19">
        <v>52.989265284571076</v>
      </c>
      <c r="O35" s="19">
        <v>48.464759844120884</v>
      </c>
      <c r="P35" s="19">
        <v>47.345136012375917</v>
      </c>
      <c r="Q35" s="1">
        <v>2018</v>
      </c>
      <c r="R35" s="19">
        <v>17851</v>
      </c>
      <c r="S35" s="40">
        <f t="shared" si="0"/>
        <v>49.599720380355961</v>
      </c>
      <c r="T35" s="27"/>
      <c r="U35" s="20"/>
      <c r="V35" s="34">
        <f t="shared" ca="1" si="1"/>
        <v>29</v>
      </c>
      <c r="W35" s="18" t="str">
        <f t="shared" ca="1" si="2"/>
        <v>25-50</v>
      </c>
      <c r="X35" s="18"/>
    </row>
    <row r="36" spans="1:24" ht="15" customHeight="1" x14ac:dyDescent="0.25">
      <c r="A36" s="4" t="s">
        <v>33</v>
      </c>
      <c r="B36" s="1" t="s">
        <v>227</v>
      </c>
      <c r="C36" s="1" t="s">
        <v>171</v>
      </c>
      <c r="D36" s="1" t="s">
        <v>163</v>
      </c>
      <c r="E36" s="1">
        <v>52.792999999999999</v>
      </c>
      <c r="F36" s="1" t="s">
        <v>241</v>
      </c>
      <c r="G36" s="21">
        <v>1532277.4565797048</v>
      </c>
      <c r="H36" s="1">
        <v>1991</v>
      </c>
      <c r="I36" s="1" t="s">
        <v>243</v>
      </c>
      <c r="J36" s="1">
        <v>42</v>
      </c>
      <c r="K36" s="1">
        <v>1</v>
      </c>
      <c r="L36" s="19">
        <v>83.549668432561162</v>
      </c>
      <c r="M36" s="24">
        <v>17.474538240779498</v>
      </c>
      <c r="N36" s="19">
        <v>45.073191125745836</v>
      </c>
      <c r="O36" s="19">
        <v>50.525416562147321</v>
      </c>
      <c r="P36" s="19">
        <v>35.710593412266995</v>
      </c>
      <c r="Q36" s="1">
        <v>2020</v>
      </c>
      <c r="R36" s="19">
        <v>17795</v>
      </c>
      <c r="S36" s="40">
        <f t="shared" si="0"/>
        <v>43.769733700053386</v>
      </c>
      <c r="T36" s="27"/>
      <c r="U36" s="20"/>
      <c r="V36" s="34">
        <f t="shared" ca="1" si="1"/>
        <v>35</v>
      </c>
      <c r="W36" s="18" t="str">
        <f t="shared" ca="1" si="2"/>
        <v>25-50</v>
      </c>
      <c r="X36" s="18"/>
    </row>
    <row r="37" spans="1:24" ht="15" customHeight="1" x14ac:dyDescent="0.25">
      <c r="A37" s="4" t="s">
        <v>34</v>
      </c>
      <c r="B37" s="1" t="s">
        <v>227</v>
      </c>
      <c r="C37" s="1" t="s">
        <v>171</v>
      </c>
      <c r="D37" s="1" t="s">
        <v>164</v>
      </c>
      <c r="E37" s="1">
        <v>52.765999999999998</v>
      </c>
      <c r="F37" s="1" t="s">
        <v>262</v>
      </c>
      <c r="G37" s="21">
        <v>1011428.0283711256</v>
      </c>
      <c r="H37" s="1">
        <v>1959</v>
      </c>
      <c r="I37" s="1" t="s">
        <v>268</v>
      </c>
      <c r="J37" s="1">
        <v>18.3</v>
      </c>
      <c r="K37" s="1">
        <v>3</v>
      </c>
      <c r="L37" s="19">
        <v>52.613948496730913</v>
      </c>
      <c r="M37" s="24">
        <v>17.362711620243768</v>
      </c>
      <c r="N37" s="19">
        <v>53.280594931205769</v>
      </c>
      <c r="O37" s="19">
        <v>67.324214171608745</v>
      </c>
      <c r="P37" s="19">
        <v>51.601356060116977</v>
      </c>
      <c r="Q37" s="1">
        <v>2019</v>
      </c>
      <c r="R37" s="19">
        <v>3395</v>
      </c>
      <c r="S37" s="40">
        <f t="shared" si="0"/>
        <v>57.402055054310495</v>
      </c>
      <c r="T37" s="27"/>
      <c r="U37" s="20"/>
      <c r="V37" s="34">
        <f t="shared" ca="1" si="1"/>
        <v>67</v>
      </c>
      <c r="W37" s="18" t="str">
        <f t="shared" ca="1" si="2"/>
        <v>50-75</v>
      </c>
      <c r="X37" s="18"/>
    </row>
    <row r="38" spans="1:24" ht="15" customHeight="1" x14ac:dyDescent="0.25">
      <c r="A38" s="4" t="s">
        <v>35</v>
      </c>
      <c r="B38" s="1" t="s">
        <v>228</v>
      </c>
      <c r="C38" s="1" t="s">
        <v>194</v>
      </c>
      <c r="D38" s="1" t="s">
        <v>165</v>
      </c>
      <c r="E38" s="1">
        <v>31.225000000000001</v>
      </c>
      <c r="F38" s="1" t="s">
        <v>262</v>
      </c>
      <c r="G38" s="21">
        <v>949435.04611196986</v>
      </c>
      <c r="H38" s="1">
        <v>1981</v>
      </c>
      <c r="I38" s="1" t="s">
        <v>239</v>
      </c>
      <c r="J38" s="1">
        <v>11</v>
      </c>
      <c r="K38" s="1">
        <v>3</v>
      </c>
      <c r="L38" s="19">
        <v>38.575178693828867</v>
      </c>
      <c r="M38" s="24">
        <v>20.763792509377513</v>
      </c>
      <c r="N38" s="19">
        <v>53.538171903746573</v>
      </c>
      <c r="O38" s="19">
        <v>58.663587611809213</v>
      </c>
      <c r="P38" s="19">
        <v>58.648757962112413</v>
      </c>
      <c r="Q38" s="1">
        <v>2018</v>
      </c>
      <c r="R38" s="19">
        <v>19933</v>
      </c>
      <c r="S38" s="40">
        <f t="shared" si="0"/>
        <v>56.950172492556057</v>
      </c>
      <c r="T38" s="27"/>
      <c r="U38" s="20"/>
      <c r="V38" s="34">
        <f t="shared" ca="1" si="1"/>
        <v>45</v>
      </c>
      <c r="W38" s="18" t="str">
        <f t="shared" ca="1" si="2"/>
        <v>25-50</v>
      </c>
      <c r="X38" s="18"/>
    </row>
    <row r="39" spans="1:24" ht="15" customHeight="1" x14ac:dyDescent="0.25">
      <c r="A39" s="4" t="s">
        <v>36</v>
      </c>
      <c r="B39" s="1" t="s">
        <v>227</v>
      </c>
      <c r="C39" s="1" t="s">
        <v>174</v>
      </c>
      <c r="D39" s="1" t="s">
        <v>165</v>
      </c>
      <c r="E39" s="1">
        <v>27.818000000000001</v>
      </c>
      <c r="F39" s="1" t="s">
        <v>262</v>
      </c>
      <c r="G39" s="21">
        <v>743163.98973769683</v>
      </c>
      <c r="H39" s="1">
        <v>1992</v>
      </c>
      <c r="I39" s="1" t="s">
        <v>251</v>
      </c>
      <c r="J39" s="1">
        <v>10</v>
      </c>
      <c r="K39" s="1">
        <v>3</v>
      </c>
      <c r="L39" s="19">
        <v>31.265554279826468</v>
      </c>
      <c r="M39" s="24">
        <v>22.725785333467552</v>
      </c>
      <c r="N39" s="19">
        <v>61.834835501946792</v>
      </c>
      <c r="O39" s="19">
        <v>61.740769794236982</v>
      </c>
      <c r="P39" s="19">
        <v>53.263931094540794</v>
      </c>
      <c r="Q39" s="1">
        <v>2020</v>
      </c>
      <c r="R39" s="19">
        <v>7791</v>
      </c>
      <c r="S39" s="40">
        <f t="shared" si="0"/>
        <v>58.946512130241523</v>
      </c>
      <c r="T39" s="27"/>
      <c r="U39" s="20"/>
      <c r="V39" s="34">
        <f t="shared" ca="1" si="1"/>
        <v>34</v>
      </c>
      <c r="W39" s="18" t="str">
        <f t="shared" ca="1" si="2"/>
        <v>25-50</v>
      </c>
      <c r="X39" s="18"/>
    </row>
    <row r="40" spans="1:24" ht="15" customHeight="1" x14ac:dyDescent="0.25">
      <c r="A40" s="4" t="s">
        <v>37</v>
      </c>
      <c r="B40" s="1" t="s">
        <v>227</v>
      </c>
      <c r="C40" s="1" t="s">
        <v>214</v>
      </c>
      <c r="D40" s="1" t="s">
        <v>165</v>
      </c>
      <c r="E40" s="1">
        <v>32.35</v>
      </c>
      <c r="F40" s="1" t="s">
        <v>241</v>
      </c>
      <c r="G40" s="21">
        <v>3210659.7287687347</v>
      </c>
      <c r="H40" s="1">
        <v>1965</v>
      </c>
      <c r="I40" s="1" t="s">
        <v>271</v>
      </c>
      <c r="J40" s="1">
        <v>45.1</v>
      </c>
      <c r="K40" s="1">
        <v>5</v>
      </c>
      <c r="L40" s="19">
        <v>243.98164589322801</v>
      </c>
      <c r="M40" s="24">
        <v>11.777025644295721</v>
      </c>
      <c r="N40" s="19">
        <v>61.724873840388653</v>
      </c>
      <c r="O40" s="19">
        <v>50.278410738510992</v>
      </c>
      <c r="P40" s="19">
        <v>32.19020874597372</v>
      </c>
      <c r="Q40" s="1">
        <v>2019</v>
      </c>
      <c r="R40" s="19">
        <v>8832</v>
      </c>
      <c r="S40" s="40">
        <f t="shared" si="0"/>
        <v>48.064497774957793</v>
      </c>
      <c r="T40" s="27"/>
      <c r="U40" s="20"/>
      <c r="V40" s="34">
        <f t="shared" ca="1" si="1"/>
        <v>61</v>
      </c>
      <c r="W40" s="18" t="str">
        <f t="shared" ca="1" si="2"/>
        <v>50-75</v>
      </c>
      <c r="X40" s="18"/>
    </row>
    <row r="41" spans="1:24" ht="15" customHeight="1" x14ac:dyDescent="0.25">
      <c r="A41" s="4" t="s">
        <v>38</v>
      </c>
      <c r="B41" s="1" t="s">
        <v>227</v>
      </c>
      <c r="C41" s="1" t="s">
        <v>217</v>
      </c>
      <c r="D41" s="1" t="s">
        <v>165</v>
      </c>
      <c r="E41" s="1">
        <v>0.13400000000000001</v>
      </c>
      <c r="F41" s="1" t="s">
        <v>241</v>
      </c>
      <c r="G41" s="21">
        <v>1848888.7166578437</v>
      </c>
      <c r="H41" s="1">
        <v>1973</v>
      </c>
      <c r="I41" s="1" t="s">
        <v>261</v>
      </c>
      <c r="J41" s="1">
        <v>33.5</v>
      </c>
      <c r="K41" s="1">
        <v>3</v>
      </c>
      <c r="L41" s="19">
        <v>133.95462900899943</v>
      </c>
      <c r="M41" s="24">
        <v>11.603092531510153</v>
      </c>
      <c r="N41" s="19">
        <v>62.778700076606512</v>
      </c>
      <c r="O41" s="19">
        <v>56.673521306122126</v>
      </c>
      <c r="P41" s="19">
        <v>33.646958875030094</v>
      </c>
      <c r="Q41" s="1">
        <v>2018</v>
      </c>
      <c r="R41" s="19">
        <v>3032</v>
      </c>
      <c r="S41" s="40">
        <f t="shared" si="0"/>
        <v>51.03306008591958</v>
      </c>
      <c r="T41" s="27"/>
      <c r="U41" s="20"/>
      <c r="V41" s="34">
        <f t="shared" ca="1" si="1"/>
        <v>53</v>
      </c>
      <c r="W41" s="18" t="str">
        <f t="shared" ca="1" si="2"/>
        <v>50-75</v>
      </c>
      <c r="X41" s="18"/>
    </row>
    <row r="42" spans="1:24" ht="15" customHeight="1" x14ac:dyDescent="0.25">
      <c r="A42" s="4" t="s">
        <v>39</v>
      </c>
      <c r="B42" s="1" t="s">
        <v>227</v>
      </c>
      <c r="C42" s="1" t="s">
        <v>221</v>
      </c>
      <c r="D42" s="1" t="s">
        <v>165</v>
      </c>
      <c r="E42" s="1">
        <v>21.931999999999999</v>
      </c>
      <c r="F42" s="1" t="s">
        <v>241</v>
      </c>
      <c r="G42" s="21">
        <v>1408566.2799091632</v>
      </c>
      <c r="H42" s="1">
        <v>1995</v>
      </c>
      <c r="I42" s="1" t="s">
        <v>244</v>
      </c>
      <c r="J42" s="1">
        <v>12.6</v>
      </c>
      <c r="K42" s="1">
        <v>3</v>
      </c>
      <c r="L42" s="19">
        <v>61.887020393305257</v>
      </c>
      <c r="M42" s="24">
        <v>19.05923698160062</v>
      </c>
      <c r="N42" s="19">
        <v>42.786651730921264</v>
      </c>
      <c r="O42" s="19">
        <v>75.991113195360441</v>
      </c>
      <c r="P42" s="19">
        <v>36.105095351004017</v>
      </c>
      <c r="Q42" s="1">
        <v>2020</v>
      </c>
      <c r="R42" s="19">
        <v>6306</v>
      </c>
      <c r="S42" s="40">
        <f t="shared" si="0"/>
        <v>51.627620092428572</v>
      </c>
      <c r="T42" s="27"/>
      <c r="U42" s="20"/>
      <c r="V42" s="34">
        <f t="shared" ca="1" si="1"/>
        <v>31</v>
      </c>
      <c r="W42" s="18" t="str">
        <f t="shared" ca="1" si="2"/>
        <v>25-50</v>
      </c>
      <c r="X42" s="18"/>
    </row>
    <row r="43" spans="1:24" ht="15" customHeight="1" x14ac:dyDescent="0.25">
      <c r="A43" s="4" t="s">
        <v>40</v>
      </c>
      <c r="B43" s="1" t="s">
        <v>227</v>
      </c>
      <c r="C43" s="1" t="s">
        <v>200</v>
      </c>
      <c r="D43" s="1" t="s">
        <v>165</v>
      </c>
      <c r="E43" s="1">
        <v>0.121</v>
      </c>
      <c r="F43" s="1" t="s">
        <v>241</v>
      </c>
      <c r="G43" s="21">
        <v>3494368.340997051</v>
      </c>
      <c r="H43" s="1">
        <v>1976</v>
      </c>
      <c r="I43" s="1" t="s">
        <v>280</v>
      </c>
      <c r="J43" s="1">
        <v>38.1</v>
      </c>
      <c r="K43" s="1">
        <v>5</v>
      </c>
      <c r="L43" s="19">
        <v>226.20380895988083</v>
      </c>
      <c r="M43" s="24">
        <v>15.000349843920862</v>
      </c>
      <c r="N43" s="19">
        <v>61.37356442084014</v>
      </c>
      <c r="O43" s="19">
        <v>63.409634891657994</v>
      </c>
      <c r="P43" s="19">
        <v>46.689947917586991</v>
      </c>
      <c r="Q43" s="1">
        <v>2020</v>
      </c>
      <c r="R43" s="19">
        <v>18291</v>
      </c>
      <c r="S43" s="40">
        <f t="shared" si="0"/>
        <v>57.157715743361713</v>
      </c>
      <c r="T43" s="27"/>
      <c r="U43" s="20"/>
      <c r="V43" s="34">
        <f t="shared" ca="1" si="1"/>
        <v>50</v>
      </c>
      <c r="W43" s="18" t="str">
        <f t="shared" ca="1" si="2"/>
        <v>25-50</v>
      </c>
      <c r="X43" s="18"/>
    </row>
    <row r="44" spans="1:24" ht="15" customHeight="1" x14ac:dyDescent="0.25">
      <c r="A44" s="4" t="s">
        <v>41</v>
      </c>
      <c r="B44" s="1" t="s">
        <v>227</v>
      </c>
      <c r="C44" s="1" t="s">
        <v>209</v>
      </c>
      <c r="D44" s="1" t="s">
        <v>165</v>
      </c>
      <c r="E44" s="1">
        <v>11.853999999999999</v>
      </c>
      <c r="F44" s="1" t="s">
        <v>241</v>
      </c>
      <c r="G44" s="21">
        <v>1092483.7047900539</v>
      </c>
      <c r="H44" s="1">
        <v>1960</v>
      </c>
      <c r="I44" s="1" t="s">
        <v>265</v>
      </c>
      <c r="J44" s="1">
        <v>19.5</v>
      </c>
      <c r="K44" s="1">
        <v>3</v>
      </c>
      <c r="L44" s="19">
        <v>68.974564109060537</v>
      </c>
      <c r="M44" s="24">
        <v>13.694317153029349</v>
      </c>
      <c r="N44" s="19">
        <v>62.330317956851438</v>
      </c>
      <c r="O44" s="19">
        <v>44.455550941956851</v>
      </c>
      <c r="P44" s="19">
        <v>41.836142630348384</v>
      </c>
      <c r="Q44" s="1">
        <v>2019</v>
      </c>
      <c r="R44" s="19">
        <v>19556</v>
      </c>
      <c r="S44" s="40">
        <f t="shared" si="0"/>
        <v>49.540670509718893</v>
      </c>
      <c r="T44" s="27"/>
      <c r="U44" s="20"/>
      <c r="V44" s="34">
        <f t="shared" ca="1" si="1"/>
        <v>66</v>
      </c>
      <c r="W44" s="18" t="str">
        <f t="shared" ca="1" si="2"/>
        <v>50-75</v>
      </c>
      <c r="X44" s="18"/>
    </row>
    <row r="45" spans="1:24" ht="15" customHeight="1" x14ac:dyDescent="0.25">
      <c r="A45" s="4" t="s">
        <v>42</v>
      </c>
      <c r="B45" s="1" t="s">
        <v>228</v>
      </c>
      <c r="C45" s="1" t="s">
        <v>216</v>
      </c>
      <c r="D45" s="1" t="s">
        <v>165</v>
      </c>
      <c r="E45" s="1">
        <v>1.1890000000000001</v>
      </c>
      <c r="F45" s="1" t="s">
        <v>241</v>
      </c>
      <c r="G45" s="21">
        <v>301815.57454487908</v>
      </c>
      <c r="H45" s="1">
        <v>1990</v>
      </c>
      <c r="I45" s="1" t="s">
        <v>239</v>
      </c>
      <c r="J45" s="1">
        <v>6</v>
      </c>
      <c r="K45" s="1">
        <v>2</v>
      </c>
      <c r="L45" s="19">
        <v>21.104276396479076</v>
      </c>
      <c r="M45" s="24">
        <v>12.700299879772752</v>
      </c>
      <c r="N45" s="19">
        <v>41.88262941596453</v>
      </c>
      <c r="O45" s="19">
        <v>59.022328957136232</v>
      </c>
      <c r="P45" s="19">
        <v>43.575686798698293</v>
      </c>
      <c r="Q45" s="1">
        <v>2021</v>
      </c>
      <c r="R45" s="19">
        <v>14659</v>
      </c>
      <c r="S45" s="40">
        <f t="shared" si="0"/>
        <v>48.160215057266349</v>
      </c>
      <c r="T45" s="27"/>
      <c r="U45" s="20"/>
      <c r="V45" s="34">
        <f t="shared" ca="1" si="1"/>
        <v>36</v>
      </c>
      <c r="W45" s="18" t="str">
        <f t="shared" ca="1" si="2"/>
        <v>25-50</v>
      </c>
      <c r="X45" s="18"/>
    </row>
    <row r="46" spans="1:24" ht="15" customHeight="1" x14ac:dyDescent="0.25">
      <c r="A46" s="4" t="s">
        <v>43</v>
      </c>
      <c r="B46" s="1" t="s">
        <v>228</v>
      </c>
      <c r="C46" s="1" t="s">
        <v>226</v>
      </c>
      <c r="D46" s="1" t="s">
        <v>165</v>
      </c>
      <c r="E46" s="1">
        <v>10.663</v>
      </c>
      <c r="F46" s="1" t="s">
        <v>262</v>
      </c>
      <c r="G46" s="21">
        <v>434100.40025795891</v>
      </c>
      <c r="H46" s="1">
        <v>1985</v>
      </c>
      <c r="I46" s="1" t="s">
        <v>240</v>
      </c>
      <c r="J46" s="1">
        <v>10.7</v>
      </c>
      <c r="K46" s="1">
        <v>1</v>
      </c>
      <c r="L46" s="19">
        <v>19.235241740146556</v>
      </c>
      <c r="M46" s="24">
        <v>21.083050604493607</v>
      </c>
      <c r="N46" s="19">
        <v>49.756060067412797</v>
      </c>
      <c r="O46" s="19">
        <v>56.262311410101333</v>
      </c>
      <c r="P46" s="19">
        <v>51.781233680318024</v>
      </c>
      <c r="Q46" s="1">
        <v>2020</v>
      </c>
      <c r="R46" s="19">
        <v>16714</v>
      </c>
      <c r="S46" s="40">
        <f t="shared" si="0"/>
        <v>52.599868385944056</v>
      </c>
      <c r="T46" s="27"/>
      <c r="U46" s="20"/>
      <c r="V46" s="34">
        <f t="shared" ca="1" si="1"/>
        <v>41</v>
      </c>
      <c r="W46" s="18" t="str">
        <f t="shared" ca="1" si="2"/>
        <v>25-50</v>
      </c>
      <c r="X46" s="18"/>
    </row>
    <row r="47" spans="1:24" ht="15" customHeight="1" x14ac:dyDescent="0.25">
      <c r="A47" s="4" t="s">
        <v>44</v>
      </c>
      <c r="B47" s="1" t="s">
        <v>227</v>
      </c>
      <c r="C47" s="1" t="s">
        <v>173</v>
      </c>
      <c r="D47" s="1" t="s">
        <v>165</v>
      </c>
      <c r="E47" s="1">
        <v>6.8840000000000003</v>
      </c>
      <c r="F47" s="1" t="s">
        <v>262</v>
      </c>
      <c r="G47" s="21">
        <v>1022061.1378891171</v>
      </c>
      <c r="H47" s="1">
        <v>1956</v>
      </c>
      <c r="I47" s="1" t="s">
        <v>265</v>
      </c>
      <c r="J47" s="1">
        <v>18.3</v>
      </c>
      <c r="K47" s="1">
        <v>3</v>
      </c>
      <c r="L47" s="19">
        <v>80.853275913925685</v>
      </c>
      <c r="M47" s="24">
        <v>11.519139153828295</v>
      </c>
      <c r="N47" s="19">
        <v>53.524809963178363</v>
      </c>
      <c r="O47" s="19">
        <v>66.603229626189901</v>
      </c>
      <c r="P47" s="19">
        <v>32.739242839384836</v>
      </c>
      <c r="Q47" s="1">
        <v>2018</v>
      </c>
      <c r="R47" s="19">
        <v>9556</v>
      </c>
      <c r="S47" s="40">
        <f t="shared" si="0"/>
        <v>50.955760809584369</v>
      </c>
      <c r="T47" s="27"/>
      <c r="U47" s="20"/>
      <c r="V47" s="34">
        <f t="shared" ca="1" si="1"/>
        <v>70</v>
      </c>
      <c r="W47" s="18" t="str">
        <f t="shared" ca="1" si="2"/>
        <v>50-75</v>
      </c>
      <c r="X47" s="18"/>
    </row>
    <row r="48" spans="1:24" ht="15" customHeight="1" x14ac:dyDescent="0.25">
      <c r="A48" s="4" t="s">
        <v>45</v>
      </c>
      <c r="B48" s="1" t="s">
        <v>227</v>
      </c>
      <c r="C48" s="1" t="s">
        <v>199</v>
      </c>
      <c r="D48" s="1" t="s">
        <v>165</v>
      </c>
      <c r="E48" s="1">
        <v>18.36</v>
      </c>
      <c r="F48" s="1" t="s">
        <v>241</v>
      </c>
      <c r="G48" s="21">
        <v>664996.11364590842</v>
      </c>
      <c r="H48" s="1">
        <v>1997</v>
      </c>
      <c r="I48" s="1" t="s">
        <v>244</v>
      </c>
      <c r="J48" s="1">
        <v>12</v>
      </c>
      <c r="K48" s="1">
        <v>3</v>
      </c>
      <c r="L48" s="19">
        <v>45.353968076922726</v>
      </c>
      <c r="M48" s="24">
        <v>12.983442938224576</v>
      </c>
      <c r="N48" s="19">
        <v>68.378062490500184</v>
      </c>
      <c r="O48" s="19">
        <v>69.572605026526489</v>
      </c>
      <c r="P48" s="19">
        <v>43.979735602553383</v>
      </c>
      <c r="Q48" s="1">
        <v>2021</v>
      </c>
      <c r="R48" s="19">
        <v>8261</v>
      </c>
      <c r="S48" s="40">
        <f t="shared" si="0"/>
        <v>60.643467706526678</v>
      </c>
      <c r="T48" s="27"/>
      <c r="U48" s="20"/>
      <c r="V48" s="34">
        <f t="shared" ca="1" si="1"/>
        <v>29</v>
      </c>
      <c r="W48" s="18" t="str">
        <f t="shared" ca="1" si="2"/>
        <v>25-50</v>
      </c>
      <c r="X48" s="18"/>
    </row>
    <row r="49" spans="1:24" ht="15" customHeight="1" x14ac:dyDescent="0.25">
      <c r="A49" s="4" t="s">
        <v>46</v>
      </c>
      <c r="B49" s="1" t="s">
        <v>227</v>
      </c>
      <c r="C49" s="1" t="s">
        <v>185</v>
      </c>
      <c r="D49" s="1" t="s">
        <v>165</v>
      </c>
      <c r="E49" s="1">
        <v>31.491</v>
      </c>
      <c r="F49" s="1" t="s">
        <v>262</v>
      </c>
      <c r="G49" s="21">
        <v>1112763.5374166912</v>
      </c>
      <c r="H49" s="1">
        <v>1963</v>
      </c>
      <c r="I49" s="1" t="s">
        <v>234</v>
      </c>
      <c r="J49" s="1">
        <v>12.8</v>
      </c>
      <c r="K49" s="1">
        <v>3</v>
      </c>
      <c r="L49" s="19">
        <v>47.126469348785214</v>
      </c>
      <c r="M49" s="24">
        <v>20.430273113604898</v>
      </c>
      <c r="N49" s="19">
        <v>66.509839814739536</v>
      </c>
      <c r="O49" s="19">
        <v>75.294215967292928</v>
      </c>
      <c r="P49" s="19">
        <v>52.103681589619498</v>
      </c>
      <c r="Q49" s="1">
        <v>2018</v>
      </c>
      <c r="R49" s="19">
        <v>16717</v>
      </c>
      <c r="S49" s="40">
        <f t="shared" si="0"/>
        <v>64.635912457217316</v>
      </c>
      <c r="T49" s="27"/>
      <c r="U49" s="20"/>
      <c r="V49" s="34">
        <f t="shared" ca="1" si="1"/>
        <v>63</v>
      </c>
      <c r="W49" s="18" t="str">
        <f t="shared" ca="1" si="2"/>
        <v>50-75</v>
      </c>
      <c r="X49" s="18"/>
    </row>
    <row r="50" spans="1:24" ht="15" customHeight="1" x14ac:dyDescent="0.25">
      <c r="A50" s="4" t="s">
        <v>47</v>
      </c>
      <c r="B50" s="1" t="s">
        <v>227</v>
      </c>
      <c r="C50" s="1" t="s">
        <v>179</v>
      </c>
      <c r="D50" s="1" t="s">
        <v>163</v>
      </c>
      <c r="E50" s="1">
        <v>46.786000000000001</v>
      </c>
      <c r="F50" s="1" t="s">
        <v>262</v>
      </c>
      <c r="G50" s="21">
        <v>973663.5554495008</v>
      </c>
      <c r="H50" s="1">
        <v>1958</v>
      </c>
      <c r="I50" s="1" t="s">
        <v>268</v>
      </c>
      <c r="J50" s="1">
        <v>16.5</v>
      </c>
      <c r="K50" s="1">
        <v>3</v>
      </c>
      <c r="L50" s="19">
        <v>51.664025875195364</v>
      </c>
      <c r="M50" s="24">
        <v>17.50063965666639</v>
      </c>
      <c r="N50" s="19">
        <v>40.028613184258127</v>
      </c>
      <c r="O50" s="19">
        <v>61.732768560348006</v>
      </c>
      <c r="P50" s="19">
        <v>26.774287210281319</v>
      </c>
      <c r="Q50" s="1">
        <v>2018</v>
      </c>
      <c r="R50" s="19">
        <v>2936</v>
      </c>
      <c r="S50" s="40">
        <f t="shared" si="0"/>
        <v>42.845222984962483</v>
      </c>
      <c r="T50" s="27"/>
      <c r="U50" s="20"/>
      <c r="V50" s="34">
        <f t="shared" ca="1" si="1"/>
        <v>68</v>
      </c>
      <c r="W50" s="18" t="str">
        <f t="shared" ca="1" si="2"/>
        <v>50-75</v>
      </c>
      <c r="X50" s="18"/>
    </row>
    <row r="51" spans="1:24" ht="15" customHeight="1" x14ac:dyDescent="0.25">
      <c r="A51" s="4" t="s">
        <v>48</v>
      </c>
      <c r="B51" s="1" t="s">
        <v>227</v>
      </c>
      <c r="C51" s="1" t="s">
        <v>179</v>
      </c>
      <c r="D51" s="1" t="s">
        <v>164</v>
      </c>
      <c r="E51" s="1">
        <v>46.713999999999999</v>
      </c>
      <c r="F51" s="1" t="s">
        <v>262</v>
      </c>
      <c r="G51" s="21">
        <v>954436.43477597937</v>
      </c>
      <c r="H51" s="1">
        <v>1961</v>
      </c>
      <c r="I51" s="1" t="s">
        <v>268</v>
      </c>
      <c r="J51" s="1">
        <v>16.5</v>
      </c>
      <c r="K51" s="1">
        <v>3</v>
      </c>
      <c r="L51" s="19">
        <v>41.413757851272635</v>
      </c>
      <c r="M51" s="24">
        <v>21.597701709373222</v>
      </c>
      <c r="N51" s="19">
        <v>60.048505286491888</v>
      </c>
      <c r="O51" s="19">
        <v>74.931968847553307</v>
      </c>
      <c r="P51" s="19">
        <v>45.750080939777831</v>
      </c>
      <c r="Q51" s="1">
        <v>2020</v>
      </c>
      <c r="R51" s="19">
        <v>4815</v>
      </c>
      <c r="S51" s="40">
        <f t="shared" si="0"/>
        <v>60.243518357941014</v>
      </c>
      <c r="T51" s="27"/>
      <c r="U51" s="20"/>
      <c r="V51" s="34">
        <f t="shared" ca="1" si="1"/>
        <v>65</v>
      </c>
      <c r="W51" s="18" t="str">
        <f t="shared" ca="1" si="2"/>
        <v>50-75</v>
      </c>
      <c r="X51" s="18"/>
    </row>
    <row r="52" spans="1:24" ht="15" customHeight="1" x14ac:dyDescent="0.25">
      <c r="A52" s="4" t="s">
        <v>49</v>
      </c>
      <c r="B52" s="1" t="s">
        <v>227</v>
      </c>
      <c r="C52" s="1" t="s">
        <v>204</v>
      </c>
      <c r="D52" s="1" t="s">
        <v>165</v>
      </c>
      <c r="E52" s="1">
        <v>23.975000000000001</v>
      </c>
      <c r="F52" s="1" t="s">
        <v>262</v>
      </c>
      <c r="G52" s="21">
        <v>4268943.3480182718</v>
      </c>
      <c r="H52" s="1">
        <v>1966</v>
      </c>
      <c r="I52" s="1" t="s">
        <v>232</v>
      </c>
      <c r="J52" s="1">
        <v>61</v>
      </c>
      <c r="K52" s="1">
        <v>4</v>
      </c>
      <c r="L52" s="19">
        <v>305.89812028294756</v>
      </c>
      <c r="M52" s="24">
        <v>13.707184206006017</v>
      </c>
      <c r="N52" s="19">
        <v>65.748526523069856</v>
      </c>
      <c r="O52" s="19">
        <v>65.204738050716173</v>
      </c>
      <c r="P52" s="19">
        <v>58.042034952070807</v>
      </c>
      <c r="Q52" s="1">
        <v>2018</v>
      </c>
      <c r="R52" s="19">
        <v>15596</v>
      </c>
      <c r="S52" s="40">
        <f t="shared" si="0"/>
        <v>62.998433175285619</v>
      </c>
      <c r="T52" s="27"/>
      <c r="U52" s="20"/>
      <c r="V52" s="34">
        <f t="shared" ca="1" si="1"/>
        <v>60</v>
      </c>
      <c r="W52" s="18" t="str">
        <f t="shared" ca="1" si="2"/>
        <v>50-75</v>
      </c>
      <c r="X52" s="18"/>
    </row>
    <row r="53" spans="1:24" ht="15" customHeight="1" x14ac:dyDescent="0.25">
      <c r="A53" s="4" t="s">
        <v>50</v>
      </c>
      <c r="B53" s="1" t="s">
        <v>228</v>
      </c>
      <c r="C53" s="1" t="s">
        <v>219</v>
      </c>
      <c r="D53" s="1" t="s">
        <v>165</v>
      </c>
      <c r="E53" s="1">
        <v>35.895000000000003</v>
      </c>
      <c r="F53" s="1" t="s">
        <v>262</v>
      </c>
      <c r="G53" s="21">
        <v>149551.38236146318</v>
      </c>
      <c r="H53" s="1">
        <v>1977</v>
      </c>
      <c r="I53" s="1" t="s">
        <v>247</v>
      </c>
      <c r="J53" s="1">
        <v>8.5</v>
      </c>
      <c r="K53" s="1">
        <v>1</v>
      </c>
      <c r="L53" s="19">
        <v>8.8324197330300702</v>
      </c>
      <c r="M53" s="24">
        <v>14.503879178186173</v>
      </c>
      <c r="N53" s="19">
        <v>59.544850730925937</v>
      </c>
      <c r="O53" s="19">
        <v>63.309057389795392</v>
      </c>
      <c r="P53" s="19">
        <v>44.523661163598987</v>
      </c>
      <c r="Q53" s="1">
        <v>2021</v>
      </c>
      <c r="R53" s="19">
        <v>4567</v>
      </c>
      <c r="S53" s="40">
        <f t="shared" si="0"/>
        <v>55.792523094773436</v>
      </c>
      <c r="T53" s="27"/>
      <c r="U53" s="20"/>
      <c r="V53" s="34">
        <f t="shared" ca="1" si="1"/>
        <v>49</v>
      </c>
      <c r="W53" s="18" t="str">
        <f t="shared" ca="1" si="2"/>
        <v>25-50</v>
      </c>
      <c r="X53" s="18"/>
    </row>
    <row r="54" spans="1:24" ht="15" customHeight="1" x14ac:dyDescent="0.25">
      <c r="A54" s="4" t="s">
        <v>51</v>
      </c>
      <c r="B54" s="1" t="s">
        <v>227</v>
      </c>
      <c r="C54" s="1" t="s">
        <v>191</v>
      </c>
      <c r="D54" s="1" t="s">
        <v>165</v>
      </c>
      <c r="E54" s="1">
        <v>32.604999999999997</v>
      </c>
      <c r="F54" s="1" t="s">
        <v>241</v>
      </c>
      <c r="G54" s="21">
        <v>1092158.896363097</v>
      </c>
      <c r="H54" s="1">
        <v>1955</v>
      </c>
      <c r="I54" s="1" t="s">
        <v>268</v>
      </c>
      <c r="J54" s="1">
        <v>18.3</v>
      </c>
      <c r="K54" s="1">
        <v>3</v>
      </c>
      <c r="L54" s="19">
        <v>85.678900472835039</v>
      </c>
      <c r="M54" s="24">
        <v>12.191166365333428</v>
      </c>
      <c r="N54" s="19">
        <v>57.122073332146186</v>
      </c>
      <c r="O54" s="19">
        <v>55.388181437026724</v>
      </c>
      <c r="P54" s="19">
        <v>35.503162046385185</v>
      </c>
      <c r="Q54" s="1">
        <v>2019</v>
      </c>
      <c r="R54" s="19">
        <v>1923</v>
      </c>
      <c r="S54" s="40">
        <f t="shared" si="0"/>
        <v>49.337805605186041</v>
      </c>
      <c r="T54" s="27"/>
      <c r="U54" s="20"/>
      <c r="V54" s="34">
        <f t="shared" ca="1" si="1"/>
        <v>71</v>
      </c>
      <c r="W54" s="18" t="str">
        <f t="shared" ca="1" si="2"/>
        <v>50-75</v>
      </c>
      <c r="X54" s="18"/>
    </row>
    <row r="55" spans="1:24" ht="15" customHeight="1" x14ac:dyDescent="0.25">
      <c r="A55" s="4" t="s">
        <v>52</v>
      </c>
      <c r="B55" s="1" t="s">
        <v>227</v>
      </c>
      <c r="C55" s="1" t="s">
        <v>212</v>
      </c>
      <c r="D55" s="1" t="s">
        <v>165</v>
      </c>
      <c r="E55" s="1">
        <v>53.98</v>
      </c>
      <c r="F55" s="1" t="s">
        <v>241</v>
      </c>
      <c r="G55" s="21">
        <v>8418119.6057451442</v>
      </c>
      <c r="H55" s="1">
        <v>1960</v>
      </c>
      <c r="I55" s="1" t="s">
        <v>268</v>
      </c>
      <c r="J55" s="1">
        <v>35.1</v>
      </c>
      <c r="K55" s="1">
        <v>8</v>
      </c>
      <c r="L55" s="19">
        <v>478.52495009516002</v>
      </c>
      <c r="M55" s="24">
        <v>15.789708822632564</v>
      </c>
      <c r="N55" s="19">
        <v>50.638694789767378</v>
      </c>
      <c r="O55" s="19">
        <v>68.793562965122376</v>
      </c>
      <c r="P55" s="19">
        <v>31.019005585218089</v>
      </c>
      <c r="Q55" s="1">
        <v>2021</v>
      </c>
      <c r="R55" s="19">
        <v>5843</v>
      </c>
      <c r="S55" s="40">
        <f t="shared" si="0"/>
        <v>50.150421113369276</v>
      </c>
      <c r="T55" s="27"/>
      <c r="U55" s="20"/>
      <c r="V55" s="34">
        <f t="shared" ca="1" si="1"/>
        <v>66</v>
      </c>
      <c r="W55" s="18" t="str">
        <f t="shared" ca="1" si="2"/>
        <v>50-75</v>
      </c>
      <c r="X55" s="18"/>
    </row>
    <row r="56" spans="1:24" ht="15" customHeight="1" x14ac:dyDescent="0.25">
      <c r="A56" s="4" t="s">
        <v>53</v>
      </c>
      <c r="B56" s="1" t="s">
        <v>227</v>
      </c>
      <c r="C56" s="1" t="s">
        <v>192</v>
      </c>
      <c r="D56" s="1" t="s">
        <v>165</v>
      </c>
      <c r="E56" s="1">
        <v>34.704999999999998</v>
      </c>
      <c r="F56" s="1" t="s">
        <v>262</v>
      </c>
      <c r="G56" s="21">
        <v>3620732.1461146777</v>
      </c>
      <c r="H56" s="1">
        <v>1993</v>
      </c>
      <c r="I56" s="1" t="s">
        <v>260</v>
      </c>
      <c r="J56" s="1">
        <v>40</v>
      </c>
      <c r="K56" s="1">
        <v>2</v>
      </c>
      <c r="L56" s="19">
        <v>154.00772112036836</v>
      </c>
      <c r="M56" s="24">
        <v>22.448278675830959</v>
      </c>
      <c r="N56" s="19">
        <v>66.236290023104004</v>
      </c>
      <c r="O56" s="19">
        <v>51.403529052572473</v>
      </c>
      <c r="P56" s="19">
        <v>55.907327119356161</v>
      </c>
      <c r="Q56" s="1">
        <v>2021</v>
      </c>
      <c r="R56" s="19">
        <v>6386</v>
      </c>
      <c r="S56" s="40">
        <f t="shared" si="0"/>
        <v>57.849048731677549</v>
      </c>
      <c r="T56" s="27"/>
      <c r="U56" s="20"/>
      <c r="V56" s="34">
        <f t="shared" ca="1" si="1"/>
        <v>33</v>
      </c>
      <c r="W56" s="18" t="str">
        <f t="shared" ca="1" si="2"/>
        <v>25-50</v>
      </c>
      <c r="X56" s="18"/>
    </row>
    <row r="57" spans="1:24" ht="15" customHeight="1" x14ac:dyDescent="0.25">
      <c r="A57" s="4" t="s">
        <v>54</v>
      </c>
      <c r="B57" s="1" t="s">
        <v>227</v>
      </c>
      <c r="C57" s="1" t="s">
        <v>195</v>
      </c>
      <c r="D57" s="1" t="s">
        <v>165</v>
      </c>
      <c r="E57" s="1">
        <v>17.803999999999998</v>
      </c>
      <c r="F57" s="1" t="s">
        <v>262</v>
      </c>
      <c r="G57" s="21">
        <v>2383109.6166073503</v>
      </c>
      <c r="H57" s="1">
        <v>1929</v>
      </c>
      <c r="I57" s="1" t="s">
        <v>261</v>
      </c>
      <c r="J57" s="1">
        <v>32</v>
      </c>
      <c r="K57" s="1">
        <v>4</v>
      </c>
      <c r="L57" s="19">
        <v>203.69165512778449</v>
      </c>
      <c r="M57" s="24">
        <v>11.241129179430015</v>
      </c>
      <c r="N57" s="19">
        <v>55.551825803295742</v>
      </c>
      <c r="O57" s="19">
        <v>50.596771620471472</v>
      </c>
      <c r="P57" s="19">
        <v>43.834451695815737</v>
      </c>
      <c r="Q57" s="1">
        <v>2020</v>
      </c>
      <c r="R57" s="19">
        <v>11731</v>
      </c>
      <c r="S57" s="40">
        <f t="shared" si="0"/>
        <v>49.99434970652765</v>
      </c>
      <c r="T57" s="27"/>
      <c r="U57" s="20"/>
      <c r="V57" s="34">
        <f t="shared" ca="1" si="1"/>
        <v>97</v>
      </c>
      <c r="W57" s="18" t="str">
        <f t="shared" ca="1" si="2"/>
        <v>75-100</v>
      </c>
      <c r="X57" s="18"/>
    </row>
    <row r="58" spans="1:24" ht="15" customHeight="1" x14ac:dyDescent="0.25">
      <c r="A58" s="4" t="s">
        <v>55</v>
      </c>
      <c r="B58" s="1" t="s">
        <v>227</v>
      </c>
      <c r="C58" s="1" t="s">
        <v>185</v>
      </c>
      <c r="D58" s="1" t="s">
        <v>165</v>
      </c>
      <c r="E58" s="1">
        <v>15.113</v>
      </c>
      <c r="F58" s="1" t="s">
        <v>264</v>
      </c>
      <c r="G58" s="21">
        <v>2405950.7048417535</v>
      </c>
      <c r="H58" s="1">
        <v>1972</v>
      </c>
      <c r="I58" s="1" t="s">
        <v>238</v>
      </c>
      <c r="J58" s="1">
        <v>16.8</v>
      </c>
      <c r="K58" s="1">
        <v>5</v>
      </c>
      <c r="L58" s="19">
        <v>109.02817430927645</v>
      </c>
      <c r="M58" s="24">
        <v>21.312408968039005</v>
      </c>
      <c r="N58" s="19">
        <v>61.285277140381247</v>
      </c>
      <c r="O58" s="19">
        <v>45.754868865746772</v>
      </c>
      <c r="P58" s="19">
        <v>56.681921282058916</v>
      </c>
      <c r="Q58" s="1">
        <v>2021</v>
      </c>
      <c r="R58" s="19">
        <v>13958</v>
      </c>
      <c r="S58" s="40">
        <f t="shared" si="0"/>
        <v>54.574022429395647</v>
      </c>
      <c r="T58" s="27"/>
      <c r="U58" s="20"/>
      <c r="V58" s="34">
        <f t="shared" ca="1" si="1"/>
        <v>54</v>
      </c>
      <c r="W58" s="18" t="str">
        <f t="shared" ca="1" si="2"/>
        <v>50-75</v>
      </c>
      <c r="X58" s="18"/>
    </row>
    <row r="59" spans="1:24" ht="15" customHeight="1" x14ac:dyDescent="0.25">
      <c r="A59" s="4" t="s">
        <v>56</v>
      </c>
      <c r="B59" s="1" t="s">
        <v>227</v>
      </c>
      <c r="C59" s="1" t="s">
        <v>189</v>
      </c>
      <c r="D59" s="1" t="s">
        <v>165</v>
      </c>
      <c r="E59" s="1">
        <v>46.628</v>
      </c>
      <c r="F59" s="1" t="s">
        <v>262</v>
      </c>
      <c r="G59" s="21">
        <v>1054914.2202553186</v>
      </c>
      <c r="H59" s="1">
        <v>1979</v>
      </c>
      <c r="I59" s="1" t="s">
        <v>238</v>
      </c>
      <c r="J59" s="1">
        <v>15.2</v>
      </c>
      <c r="K59" s="1">
        <v>3</v>
      </c>
      <c r="L59" s="19">
        <v>80.498377581122043</v>
      </c>
      <c r="M59" s="24">
        <v>11.032897160124568</v>
      </c>
      <c r="N59" s="19">
        <v>46.561624054780602</v>
      </c>
      <c r="O59" s="19">
        <v>62.695672846670185</v>
      </c>
      <c r="P59" s="19">
        <v>41.460007151502488</v>
      </c>
      <c r="Q59" s="1">
        <v>2020</v>
      </c>
      <c r="R59" s="19">
        <v>9588</v>
      </c>
      <c r="S59" s="40">
        <f t="shared" si="0"/>
        <v>50.23910135098442</v>
      </c>
      <c r="T59" s="27"/>
      <c r="U59" s="20"/>
      <c r="V59" s="34">
        <f t="shared" ca="1" si="1"/>
        <v>47</v>
      </c>
      <c r="W59" s="18" t="str">
        <f t="shared" ca="1" si="2"/>
        <v>25-50</v>
      </c>
      <c r="X59" s="18"/>
    </row>
    <row r="60" spans="1:24" ht="15" customHeight="1" x14ac:dyDescent="0.25">
      <c r="A60" s="4" t="s">
        <v>57</v>
      </c>
      <c r="B60" s="1" t="s">
        <v>228</v>
      </c>
      <c r="C60" s="1" t="s">
        <v>226</v>
      </c>
      <c r="D60" s="1" t="s">
        <v>165</v>
      </c>
      <c r="E60" s="1">
        <v>42.125999999999998</v>
      </c>
      <c r="F60" s="1" t="s">
        <v>262</v>
      </c>
      <c r="G60" s="21">
        <v>662394.45386904373</v>
      </c>
      <c r="H60" s="1">
        <v>1977</v>
      </c>
      <c r="I60" s="1" t="s">
        <v>240</v>
      </c>
      <c r="J60" s="1">
        <v>7.9</v>
      </c>
      <c r="K60" s="1">
        <v>3</v>
      </c>
      <c r="L60" s="19">
        <v>36.77889404310578</v>
      </c>
      <c r="M60" s="24">
        <v>16.423234993600801</v>
      </c>
      <c r="N60" s="19">
        <v>53.444455851803603</v>
      </c>
      <c r="O60" s="19">
        <v>69.338858268715811</v>
      </c>
      <c r="P60" s="19">
        <v>49.288787411461612</v>
      </c>
      <c r="Q60" s="1">
        <v>2021</v>
      </c>
      <c r="R60" s="19">
        <v>3116</v>
      </c>
      <c r="S60" s="40">
        <f t="shared" si="0"/>
        <v>57.357367177327006</v>
      </c>
      <c r="T60" s="27"/>
      <c r="U60" s="20"/>
      <c r="V60" s="34">
        <f t="shared" ca="1" si="1"/>
        <v>49</v>
      </c>
      <c r="W60" s="18" t="str">
        <f t="shared" ca="1" si="2"/>
        <v>25-50</v>
      </c>
      <c r="X60" s="18"/>
    </row>
    <row r="61" spans="1:24" ht="15" customHeight="1" x14ac:dyDescent="0.25">
      <c r="A61" s="4" t="s">
        <v>58</v>
      </c>
      <c r="B61" s="1" t="s">
        <v>227</v>
      </c>
      <c r="C61" s="1" t="s">
        <v>173</v>
      </c>
      <c r="D61" s="1" t="s">
        <v>165</v>
      </c>
      <c r="E61" s="1">
        <v>14.917</v>
      </c>
      <c r="F61" s="1" t="s">
        <v>262</v>
      </c>
      <c r="G61" s="21">
        <v>1185958.4289431041</v>
      </c>
      <c r="H61" s="1">
        <v>1996</v>
      </c>
      <c r="I61" s="1" t="s">
        <v>244</v>
      </c>
      <c r="J61" s="1">
        <v>11</v>
      </c>
      <c r="K61" s="1">
        <v>3</v>
      </c>
      <c r="L61" s="19">
        <v>46.148862403754812</v>
      </c>
      <c r="M61" s="24">
        <v>23.766474907895919</v>
      </c>
      <c r="N61" s="19">
        <v>52.302973235749469</v>
      </c>
      <c r="O61" s="19">
        <v>39.312706417350995</v>
      </c>
      <c r="P61" s="19">
        <v>46.420423263562078</v>
      </c>
      <c r="Q61" s="1">
        <v>2020</v>
      </c>
      <c r="R61" s="19">
        <v>15435</v>
      </c>
      <c r="S61" s="40">
        <f t="shared" si="0"/>
        <v>46.012034305554181</v>
      </c>
      <c r="T61" s="27"/>
      <c r="U61" s="20"/>
      <c r="V61" s="34">
        <f t="shared" ca="1" si="1"/>
        <v>30</v>
      </c>
      <c r="W61" s="18" t="str">
        <f t="shared" ca="1" si="2"/>
        <v>25-50</v>
      </c>
      <c r="X61" s="18"/>
    </row>
    <row r="62" spans="1:24" ht="15" customHeight="1" x14ac:dyDescent="0.25">
      <c r="A62" s="4" t="s">
        <v>59</v>
      </c>
      <c r="B62" s="1" t="s">
        <v>227</v>
      </c>
      <c r="C62" s="1" t="s">
        <v>178</v>
      </c>
      <c r="D62" s="1" t="s">
        <v>163</v>
      </c>
      <c r="E62" s="1">
        <v>11.308999999999999</v>
      </c>
      <c r="F62" s="1" t="s">
        <v>241</v>
      </c>
      <c r="G62" s="21">
        <v>2534100.4665735401</v>
      </c>
      <c r="H62" s="1">
        <v>1997</v>
      </c>
      <c r="I62" s="1" t="s">
        <v>267</v>
      </c>
      <c r="J62" s="1">
        <v>30</v>
      </c>
      <c r="K62" s="1">
        <v>3</v>
      </c>
      <c r="L62" s="19">
        <v>122.72260004726809</v>
      </c>
      <c r="M62" s="24">
        <v>19.629314903675219</v>
      </c>
      <c r="N62" s="19">
        <v>34.866547021207843</v>
      </c>
      <c r="O62" s="19">
        <v>54.147588135625078</v>
      </c>
      <c r="P62" s="19">
        <v>33.725513553345735</v>
      </c>
      <c r="Q62" s="1">
        <v>2019</v>
      </c>
      <c r="R62" s="19">
        <v>3691</v>
      </c>
      <c r="S62" s="40">
        <f t="shared" si="0"/>
        <v>40.913216236726221</v>
      </c>
      <c r="T62" s="27"/>
      <c r="U62" s="20"/>
      <c r="V62" s="34">
        <f t="shared" ca="1" si="1"/>
        <v>29</v>
      </c>
      <c r="W62" s="18" t="str">
        <f t="shared" ca="1" si="2"/>
        <v>25-50</v>
      </c>
      <c r="X62" s="18"/>
    </row>
    <row r="63" spans="1:24" ht="15" customHeight="1" x14ac:dyDescent="0.25">
      <c r="A63" s="4" t="s">
        <v>60</v>
      </c>
      <c r="B63" s="1" t="s">
        <v>227</v>
      </c>
      <c r="C63" s="1" t="s">
        <v>178</v>
      </c>
      <c r="D63" s="1" t="s">
        <v>164</v>
      </c>
      <c r="E63" s="1">
        <v>11.606999999999999</v>
      </c>
      <c r="F63" s="1" t="s">
        <v>262</v>
      </c>
      <c r="G63" s="21">
        <v>3022218.3832057808</v>
      </c>
      <c r="H63" s="1">
        <v>1963</v>
      </c>
      <c r="I63" s="1" t="s">
        <v>268</v>
      </c>
      <c r="J63" s="1">
        <v>33.5</v>
      </c>
      <c r="K63" s="1">
        <v>3</v>
      </c>
      <c r="L63" s="19">
        <v>164.21901601839375</v>
      </c>
      <c r="M63" s="24">
        <v>16.178031503321797</v>
      </c>
      <c r="N63" s="19">
        <v>81.164416325717639</v>
      </c>
      <c r="O63" s="19">
        <v>49.149776026718229</v>
      </c>
      <c r="P63" s="19">
        <v>40.754586877782629</v>
      </c>
      <c r="Q63" s="1">
        <v>2019</v>
      </c>
      <c r="R63" s="19">
        <v>8995</v>
      </c>
      <c r="S63" s="40">
        <f t="shared" si="0"/>
        <v>57.022926410072834</v>
      </c>
      <c r="T63" s="27"/>
      <c r="U63" s="20"/>
      <c r="V63" s="34">
        <f t="shared" ca="1" si="1"/>
        <v>63</v>
      </c>
      <c r="W63" s="18" t="str">
        <f t="shared" ca="1" si="2"/>
        <v>50-75</v>
      </c>
      <c r="X63" s="18"/>
    </row>
    <row r="64" spans="1:24" ht="15" customHeight="1" x14ac:dyDescent="0.25">
      <c r="A64" s="4" t="s">
        <v>61</v>
      </c>
      <c r="B64" s="1" t="s">
        <v>227</v>
      </c>
      <c r="C64" s="1" t="s">
        <v>178</v>
      </c>
      <c r="D64" s="1" t="s">
        <v>163</v>
      </c>
      <c r="E64" s="1">
        <v>11.708</v>
      </c>
      <c r="F64" s="1" t="s">
        <v>241</v>
      </c>
      <c r="G64" s="21">
        <v>1072329.1732316932</v>
      </c>
      <c r="H64" s="1">
        <v>1991</v>
      </c>
      <c r="I64" s="1" t="s">
        <v>267</v>
      </c>
      <c r="J64" s="1">
        <v>23</v>
      </c>
      <c r="K64" s="1">
        <v>2</v>
      </c>
      <c r="L64" s="19">
        <v>64.885654993694445</v>
      </c>
      <c r="M64" s="24">
        <v>15.375536377356005</v>
      </c>
      <c r="N64" s="19">
        <v>53.141070871195268</v>
      </c>
      <c r="O64" s="19">
        <v>49.539589297966536</v>
      </c>
      <c r="P64" s="19">
        <v>38.903149382860306</v>
      </c>
      <c r="Q64" s="1">
        <v>2021</v>
      </c>
      <c r="R64" s="19">
        <v>2359</v>
      </c>
      <c r="S64" s="40">
        <f t="shared" si="0"/>
        <v>47.19460318400737</v>
      </c>
      <c r="T64" s="27"/>
      <c r="U64" s="20"/>
      <c r="V64" s="34">
        <f t="shared" ca="1" si="1"/>
        <v>35</v>
      </c>
      <c r="W64" s="18" t="str">
        <f t="shared" ca="1" si="2"/>
        <v>25-50</v>
      </c>
      <c r="X64" s="18"/>
    </row>
    <row r="65" spans="1:24" ht="15" customHeight="1" x14ac:dyDescent="0.25">
      <c r="A65" s="4" t="s">
        <v>62</v>
      </c>
      <c r="B65" s="1" t="s">
        <v>227</v>
      </c>
      <c r="C65" s="1" t="s">
        <v>178</v>
      </c>
      <c r="D65" s="1" t="s">
        <v>164</v>
      </c>
      <c r="E65" s="1">
        <v>12.051</v>
      </c>
      <c r="F65" s="1" t="s">
        <v>269</v>
      </c>
      <c r="G65" s="21">
        <v>914613.98599370837</v>
      </c>
      <c r="H65" s="1">
        <v>1958</v>
      </c>
      <c r="I65" s="1" t="s">
        <v>270</v>
      </c>
      <c r="J65" s="1">
        <v>18.3</v>
      </c>
      <c r="K65" s="1">
        <v>2</v>
      </c>
      <c r="L65" s="19">
        <v>44.025481842813193</v>
      </c>
      <c r="M65" s="24">
        <v>17.994509595854574</v>
      </c>
      <c r="N65" s="19">
        <v>50.307534857912067</v>
      </c>
      <c r="O65" s="19">
        <v>61.247679760761066</v>
      </c>
      <c r="P65" s="19">
        <v>38.784576136001597</v>
      </c>
      <c r="Q65" s="1">
        <v>2017</v>
      </c>
      <c r="R65" s="19">
        <v>12890</v>
      </c>
      <c r="S65" s="40">
        <f t="shared" si="0"/>
        <v>50.113263584891577</v>
      </c>
      <c r="T65" s="27"/>
      <c r="U65" s="20"/>
      <c r="V65" s="34">
        <f t="shared" ca="1" si="1"/>
        <v>68</v>
      </c>
      <c r="W65" s="18" t="str">
        <f t="shared" ca="1" si="2"/>
        <v>50-75</v>
      </c>
      <c r="X65" s="18"/>
    </row>
    <row r="66" spans="1:24" ht="15" customHeight="1" x14ac:dyDescent="0.25">
      <c r="A66" s="4" t="s">
        <v>63</v>
      </c>
      <c r="B66" s="1" t="s">
        <v>227</v>
      </c>
      <c r="C66" s="1" t="s">
        <v>179</v>
      </c>
      <c r="D66" s="1" t="s">
        <v>163</v>
      </c>
      <c r="E66" s="1">
        <v>27.173999999999999</v>
      </c>
      <c r="F66" s="1" t="s">
        <v>262</v>
      </c>
      <c r="G66" s="21">
        <v>401052.92224085267</v>
      </c>
      <c r="H66" s="1">
        <v>1958</v>
      </c>
      <c r="I66" s="1" t="s">
        <v>271</v>
      </c>
      <c r="J66" s="1">
        <v>26.5</v>
      </c>
      <c r="K66" s="1">
        <v>1</v>
      </c>
      <c r="L66" s="19">
        <v>28.163237218195626</v>
      </c>
      <c r="M66" s="24">
        <v>12.055912614273392</v>
      </c>
      <c r="N66" s="19">
        <v>63.859159554835728</v>
      </c>
      <c r="O66" s="19">
        <v>49.982795577845209</v>
      </c>
      <c r="P66" s="19">
        <v>48.214106201848288</v>
      </c>
      <c r="Q66" s="1">
        <v>2021</v>
      </c>
      <c r="R66" s="19">
        <v>10563</v>
      </c>
      <c r="S66" s="40">
        <f t="shared" si="0"/>
        <v>54.018687111509742</v>
      </c>
      <c r="T66" s="27"/>
      <c r="U66" s="20"/>
      <c r="V66" s="34">
        <f t="shared" ca="1" si="1"/>
        <v>68</v>
      </c>
      <c r="W66" s="18" t="str">
        <f t="shared" ca="1" si="2"/>
        <v>50-75</v>
      </c>
      <c r="X66" s="18"/>
    </row>
    <row r="67" spans="1:24" ht="15" customHeight="1" x14ac:dyDescent="0.25">
      <c r="A67" s="4" t="s">
        <v>64</v>
      </c>
      <c r="B67" s="1" t="s">
        <v>227</v>
      </c>
      <c r="C67" s="1" t="s">
        <v>179</v>
      </c>
      <c r="D67" s="1" t="s">
        <v>164</v>
      </c>
      <c r="E67" s="1">
        <v>27.091999999999999</v>
      </c>
      <c r="F67" s="1" t="s">
        <v>262</v>
      </c>
      <c r="G67" s="21">
        <v>939676.94248057855</v>
      </c>
      <c r="H67" s="1">
        <v>1961</v>
      </c>
      <c r="I67" s="1" t="s">
        <v>271</v>
      </c>
      <c r="J67" s="1">
        <v>26.5</v>
      </c>
      <c r="K67" s="1">
        <v>1</v>
      </c>
      <c r="L67" s="19">
        <v>49.138141997980341</v>
      </c>
      <c r="M67" s="24">
        <v>16.004273279745362</v>
      </c>
      <c r="N67" s="19">
        <v>68.226628304419378</v>
      </c>
      <c r="O67" s="19">
        <v>70.716188580190959</v>
      </c>
      <c r="P67" s="19">
        <v>43.082415318315938</v>
      </c>
      <c r="Q67" s="1">
        <v>2019</v>
      </c>
      <c r="R67" s="19">
        <v>4399</v>
      </c>
      <c r="S67" s="40">
        <f t="shared" si="0"/>
        <v>60.675077400975432</v>
      </c>
      <c r="T67" s="27"/>
      <c r="U67" s="20"/>
      <c r="V67" s="34">
        <f t="shared" ca="1" si="1"/>
        <v>65</v>
      </c>
      <c r="W67" s="18" t="str">
        <f t="shared" ca="1" si="2"/>
        <v>50-75</v>
      </c>
      <c r="X67" s="18"/>
    </row>
    <row r="68" spans="1:24" ht="15" customHeight="1" x14ac:dyDescent="0.25">
      <c r="A68" s="4" t="s">
        <v>65</v>
      </c>
      <c r="B68" s="1" t="s">
        <v>227</v>
      </c>
      <c r="C68" s="1" t="s">
        <v>208</v>
      </c>
      <c r="D68" s="1" t="s">
        <v>165</v>
      </c>
      <c r="E68" s="1">
        <v>21.39</v>
      </c>
      <c r="F68" s="1" t="s">
        <v>241</v>
      </c>
      <c r="G68" s="21">
        <v>596781.07998104359</v>
      </c>
      <c r="H68" s="1">
        <v>1999</v>
      </c>
      <c r="I68" s="1" t="s">
        <v>244</v>
      </c>
      <c r="J68" s="1">
        <v>14</v>
      </c>
      <c r="K68" s="1">
        <v>1</v>
      </c>
      <c r="L68" s="19">
        <v>27.591964381234259</v>
      </c>
      <c r="M68" s="24">
        <v>20.567286523321648</v>
      </c>
      <c r="N68" s="19">
        <v>56.363878660382603</v>
      </c>
      <c r="O68" s="19">
        <v>68.524285535670771</v>
      </c>
      <c r="P68" s="19">
        <v>38.468374549172545</v>
      </c>
      <c r="Q68" s="1">
        <v>2021</v>
      </c>
      <c r="R68" s="19">
        <v>9857</v>
      </c>
      <c r="S68" s="40">
        <f t="shared" ref="S68:S131" si="3">(N68+O68+P68)/3</f>
        <v>54.452179581741973</v>
      </c>
      <c r="T68" s="27"/>
      <c r="U68" s="20"/>
      <c r="V68" s="34">
        <f t="shared" ref="V68:V131" ca="1" si="4">YEAR(TODAY())-H68</f>
        <v>27</v>
      </c>
      <c r="W68" s="18" t="str">
        <f t="shared" ref="W68:W131" ca="1" si="5">IF(V68&lt;=25,"0-25",IF(V68&lt;=50,"25-50",IF(V68&lt;=75,"50-75",IF(V68&lt;=100,"75-100"))))</f>
        <v>25-50</v>
      </c>
      <c r="X68" s="18"/>
    </row>
    <row r="69" spans="1:24" ht="15" customHeight="1" x14ac:dyDescent="0.25">
      <c r="A69" s="4" t="s">
        <v>66</v>
      </c>
      <c r="B69" s="1" t="s">
        <v>228</v>
      </c>
      <c r="C69" s="1" t="s">
        <v>208</v>
      </c>
      <c r="D69" s="1" t="s">
        <v>165</v>
      </c>
      <c r="E69" s="1">
        <v>10.91</v>
      </c>
      <c r="F69" s="1" t="s">
        <v>262</v>
      </c>
      <c r="G69" s="21">
        <v>142348.20676542699</v>
      </c>
      <c r="H69" s="1">
        <v>1980</v>
      </c>
      <c r="I69" s="1" t="s">
        <v>247</v>
      </c>
      <c r="J69" s="1">
        <v>8.5</v>
      </c>
      <c r="K69" s="1">
        <v>1</v>
      </c>
      <c r="L69" s="19">
        <v>15.818030394315493</v>
      </c>
      <c r="M69" s="24">
        <v>8.5101435016957225</v>
      </c>
      <c r="N69" s="19">
        <v>42.117956838530922</v>
      </c>
      <c r="O69" s="19">
        <v>57.713370316096288</v>
      </c>
      <c r="P69" s="19">
        <v>31.088160888577963</v>
      </c>
      <c r="Q69" s="1">
        <v>2020</v>
      </c>
      <c r="R69" s="19">
        <v>12626</v>
      </c>
      <c r="S69" s="40">
        <f t="shared" si="3"/>
        <v>43.639829347735059</v>
      </c>
      <c r="T69" s="27"/>
      <c r="U69" s="20"/>
      <c r="V69" s="34">
        <f t="shared" ca="1" si="4"/>
        <v>46</v>
      </c>
      <c r="W69" s="18" t="str">
        <f t="shared" ca="1" si="5"/>
        <v>25-50</v>
      </c>
      <c r="X69" s="18"/>
    </row>
    <row r="70" spans="1:24" ht="15" customHeight="1" x14ac:dyDescent="0.25">
      <c r="A70" s="4" t="s">
        <v>67</v>
      </c>
      <c r="B70" s="1" t="s">
        <v>227</v>
      </c>
      <c r="C70" s="1" t="s">
        <v>174</v>
      </c>
      <c r="D70" s="1" t="s">
        <v>165</v>
      </c>
      <c r="E70" s="1">
        <v>10.489000000000001</v>
      </c>
      <c r="F70" s="1" t="s">
        <v>264</v>
      </c>
      <c r="G70" s="21">
        <v>2123311.0902072126</v>
      </c>
      <c r="H70" s="1">
        <v>1979</v>
      </c>
      <c r="I70" s="1" t="s">
        <v>274</v>
      </c>
      <c r="J70" s="1">
        <v>15.2</v>
      </c>
      <c r="K70" s="1">
        <v>3</v>
      </c>
      <c r="L70" s="19">
        <v>88.863378654727356</v>
      </c>
      <c r="M70" s="24">
        <v>22.646980761800524</v>
      </c>
      <c r="N70" s="19">
        <v>50.337360987800658</v>
      </c>
      <c r="O70" s="19">
        <v>59.442385656368309</v>
      </c>
      <c r="P70" s="19">
        <v>37.919990268294981</v>
      </c>
      <c r="Q70" s="1">
        <v>2019</v>
      </c>
      <c r="R70" s="19">
        <v>7507</v>
      </c>
      <c r="S70" s="40">
        <f t="shared" si="3"/>
        <v>49.233245637487983</v>
      </c>
      <c r="T70" s="27"/>
      <c r="U70" s="20"/>
      <c r="V70" s="34">
        <f t="shared" ca="1" si="4"/>
        <v>47</v>
      </c>
      <c r="W70" s="18" t="str">
        <f t="shared" ca="1" si="5"/>
        <v>25-50</v>
      </c>
      <c r="X70" s="18"/>
    </row>
    <row r="71" spans="1:24" ht="15" customHeight="1" x14ac:dyDescent="0.25">
      <c r="A71" s="4" t="s">
        <v>68</v>
      </c>
      <c r="B71" s="1" t="s">
        <v>228</v>
      </c>
      <c r="C71" s="1" t="s">
        <v>208</v>
      </c>
      <c r="D71" s="1" t="s">
        <v>165</v>
      </c>
      <c r="E71" s="1">
        <v>4.0709999999999997</v>
      </c>
      <c r="F71" s="1" t="s">
        <v>262</v>
      </c>
      <c r="G71" s="21">
        <v>50275.301704729834</v>
      </c>
      <c r="H71" s="1">
        <v>1938</v>
      </c>
      <c r="I71" s="1" t="s">
        <v>246</v>
      </c>
      <c r="J71" s="1">
        <v>2.9</v>
      </c>
      <c r="K71" s="1">
        <v>1</v>
      </c>
      <c r="L71" s="19">
        <v>5.5741314437233394</v>
      </c>
      <c r="M71" s="24">
        <v>7.6656477208357234</v>
      </c>
      <c r="N71" s="19">
        <v>55.827069681240999</v>
      </c>
      <c r="O71" s="19">
        <v>63.515539067685332</v>
      </c>
      <c r="P71" s="19">
        <v>35.403520829062771</v>
      </c>
      <c r="Q71" s="1">
        <v>2020</v>
      </c>
      <c r="R71" s="19">
        <v>11882</v>
      </c>
      <c r="S71" s="40">
        <f t="shared" si="3"/>
        <v>51.582043192663036</v>
      </c>
      <c r="T71" s="27"/>
      <c r="U71" s="20"/>
      <c r="V71" s="34">
        <f t="shared" ca="1" si="4"/>
        <v>88</v>
      </c>
      <c r="W71" s="18" t="str">
        <f t="shared" ca="1" si="5"/>
        <v>75-100</v>
      </c>
      <c r="X71" s="18"/>
    </row>
    <row r="72" spans="1:24" ht="15" customHeight="1" x14ac:dyDescent="0.25">
      <c r="A72" s="4" t="s">
        <v>69</v>
      </c>
      <c r="B72" s="1" t="s">
        <v>228</v>
      </c>
      <c r="C72" s="1" t="s">
        <v>208</v>
      </c>
      <c r="D72" s="1" t="s">
        <v>165</v>
      </c>
      <c r="E72" s="1">
        <v>1.377</v>
      </c>
      <c r="F72" s="1" t="s">
        <v>266</v>
      </c>
      <c r="G72" s="21">
        <v>61579.453662451138</v>
      </c>
      <c r="H72" s="1">
        <v>1940</v>
      </c>
      <c r="I72" s="1" t="s">
        <v>246</v>
      </c>
      <c r="J72" s="1">
        <v>3</v>
      </c>
      <c r="K72" s="1">
        <v>1</v>
      </c>
      <c r="L72" s="19">
        <v>4.8004264444966083</v>
      </c>
      <c r="M72" s="24">
        <v>10.98289382405793</v>
      </c>
      <c r="N72" s="19">
        <v>59.604508110990942</v>
      </c>
      <c r="O72" s="19">
        <v>61.452843124145978</v>
      </c>
      <c r="P72" s="19">
        <v>50.03872941611359</v>
      </c>
      <c r="Q72" s="1">
        <v>2019</v>
      </c>
      <c r="R72" s="19">
        <v>4425</v>
      </c>
      <c r="S72" s="40">
        <f t="shared" si="3"/>
        <v>57.03202688375017</v>
      </c>
      <c r="T72" s="27"/>
      <c r="U72" s="20"/>
      <c r="V72" s="34">
        <f t="shared" ca="1" si="4"/>
        <v>86</v>
      </c>
      <c r="W72" s="18" t="str">
        <f t="shared" ca="1" si="5"/>
        <v>75-100</v>
      </c>
      <c r="X72" s="18"/>
    </row>
    <row r="73" spans="1:24" ht="15" customHeight="1" x14ac:dyDescent="0.25">
      <c r="A73" s="4" t="s">
        <v>70</v>
      </c>
      <c r="B73" s="1" t="s">
        <v>228</v>
      </c>
      <c r="C73" s="1" t="s">
        <v>170</v>
      </c>
      <c r="D73" s="1" t="s">
        <v>164</v>
      </c>
      <c r="E73" s="1">
        <v>26.538</v>
      </c>
      <c r="F73" s="1" t="s">
        <v>269</v>
      </c>
      <c r="G73" s="21">
        <v>386055.72817270464</v>
      </c>
      <c r="H73" s="1">
        <v>1979</v>
      </c>
      <c r="I73" s="1" t="s">
        <v>240</v>
      </c>
      <c r="J73" s="1">
        <v>10.7</v>
      </c>
      <c r="K73" s="1">
        <v>1</v>
      </c>
      <c r="L73" s="19">
        <v>16.750838664223032</v>
      </c>
      <c r="M73" s="24">
        <v>21.440740032202335</v>
      </c>
      <c r="N73" s="19">
        <v>40.845667555415375</v>
      </c>
      <c r="O73" s="19">
        <v>67.78198954843117</v>
      </c>
      <c r="P73" s="19">
        <v>34.216549246415504</v>
      </c>
      <c r="Q73" s="1">
        <v>2019</v>
      </c>
      <c r="R73" s="19">
        <v>10823</v>
      </c>
      <c r="S73" s="40">
        <f t="shared" si="3"/>
        <v>47.614735450087352</v>
      </c>
      <c r="T73" s="27"/>
      <c r="U73" s="20"/>
      <c r="V73" s="34">
        <f t="shared" ca="1" si="4"/>
        <v>47</v>
      </c>
      <c r="W73" s="18" t="str">
        <f t="shared" ca="1" si="5"/>
        <v>25-50</v>
      </c>
      <c r="X73" s="18"/>
    </row>
    <row r="74" spans="1:24" ht="15" customHeight="1" x14ac:dyDescent="0.25">
      <c r="A74" s="4" t="s">
        <v>71</v>
      </c>
      <c r="B74" s="1" t="s">
        <v>227</v>
      </c>
      <c r="C74" s="1" t="s">
        <v>173</v>
      </c>
      <c r="D74" s="1" t="s">
        <v>165</v>
      </c>
      <c r="E74" s="1">
        <v>21.666</v>
      </c>
      <c r="F74" s="1" t="s">
        <v>241</v>
      </c>
      <c r="G74" s="21">
        <v>4655101.9920829823</v>
      </c>
      <c r="H74" s="1">
        <v>1980</v>
      </c>
      <c r="I74" s="1" t="s">
        <v>260</v>
      </c>
      <c r="J74" s="1">
        <v>66</v>
      </c>
      <c r="K74" s="1">
        <v>3</v>
      </c>
      <c r="L74" s="19">
        <v>309.39463405384117</v>
      </c>
      <c r="M74" s="24">
        <v>13.196595687496197</v>
      </c>
      <c r="N74" s="19">
        <v>55.251436946464516</v>
      </c>
      <c r="O74" s="19">
        <v>39.475650233254868</v>
      </c>
      <c r="P74" s="19">
        <v>55.43775110211979</v>
      </c>
      <c r="Q74" s="1">
        <v>2020</v>
      </c>
      <c r="R74" s="19">
        <v>13802</v>
      </c>
      <c r="S74" s="40">
        <f t="shared" si="3"/>
        <v>50.054946093946391</v>
      </c>
      <c r="T74" s="27"/>
      <c r="U74" s="20"/>
      <c r="V74" s="34">
        <f t="shared" ca="1" si="4"/>
        <v>46</v>
      </c>
      <c r="W74" s="18" t="str">
        <f t="shared" ca="1" si="5"/>
        <v>25-50</v>
      </c>
      <c r="X74" s="18"/>
    </row>
    <row r="75" spans="1:24" ht="15" customHeight="1" x14ac:dyDescent="0.25">
      <c r="A75" s="4" t="s">
        <v>72</v>
      </c>
      <c r="B75" s="1" t="s">
        <v>227</v>
      </c>
      <c r="C75" s="1" t="s">
        <v>173</v>
      </c>
      <c r="D75" s="1" t="s">
        <v>165</v>
      </c>
      <c r="E75" s="1">
        <v>10.317</v>
      </c>
      <c r="F75" s="1" t="s">
        <v>262</v>
      </c>
      <c r="G75" s="21">
        <v>4800541.8277066629</v>
      </c>
      <c r="H75" s="1">
        <v>1974</v>
      </c>
      <c r="I75" s="1" t="s">
        <v>272</v>
      </c>
      <c r="J75" s="1">
        <v>33.5</v>
      </c>
      <c r="K75" s="1">
        <v>5</v>
      </c>
      <c r="L75" s="19">
        <v>290.07644194707575</v>
      </c>
      <c r="M75" s="24">
        <v>16.511666473771022</v>
      </c>
      <c r="N75" s="19">
        <v>62.231111348116684</v>
      </c>
      <c r="O75" s="19">
        <v>41.108595451929986</v>
      </c>
      <c r="P75" s="19">
        <v>36.812403501078222</v>
      </c>
      <c r="Q75" s="1">
        <v>2017</v>
      </c>
      <c r="R75" s="19">
        <v>16226</v>
      </c>
      <c r="S75" s="40">
        <f t="shared" si="3"/>
        <v>46.717370100374957</v>
      </c>
      <c r="T75" s="27"/>
      <c r="U75" s="20"/>
      <c r="V75" s="34">
        <f t="shared" ca="1" si="4"/>
        <v>52</v>
      </c>
      <c r="W75" s="18" t="str">
        <f t="shared" ca="1" si="5"/>
        <v>50-75</v>
      </c>
      <c r="X75" s="18"/>
    </row>
    <row r="76" spans="1:24" ht="15" customHeight="1" x14ac:dyDescent="0.25">
      <c r="A76" s="4" t="s">
        <v>73</v>
      </c>
      <c r="B76" s="1" t="s">
        <v>227</v>
      </c>
      <c r="C76" s="1" t="s">
        <v>190</v>
      </c>
      <c r="D76" s="1" t="s">
        <v>165</v>
      </c>
      <c r="E76" s="1">
        <v>21.957999999999998</v>
      </c>
      <c r="F76" s="1" t="s">
        <v>241</v>
      </c>
      <c r="G76" s="21">
        <v>733076.67507324705</v>
      </c>
      <c r="H76" s="1">
        <v>1983</v>
      </c>
      <c r="I76" s="1" t="s">
        <v>243</v>
      </c>
      <c r="J76" s="1">
        <v>32</v>
      </c>
      <c r="K76" s="1">
        <v>1</v>
      </c>
      <c r="L76" s="19">
        <v>50.826322175405025</v>
      </c>
      <c r="M76" s="24">
        <v>13.133881142638812</v>
      </c>
      <c r="N76" s="19">
        <v>46.861221573222956</v>
      </c>
      <c r="O76" s="19">
        <v>73.444757097442718</v>
      </c>
      <c r="P76" s="19">
        <v>38.649038297823552</v>
      </c>
      <c r="Q76" s="1">
        <v>2017</v>
      </c>
      <c r="R76" s="19">
        <v>16738</v>
      </c>
      <c r="S76" s="40">
        <f t="shared" si="3"/>
        <v>52.985005656163075</v>
      </c>
      <c r="T76" s="27"/>
      <c r="U76" s="20"/>
      <c r="V76" s="34">
        <f t="shared" ca="1" si="4"/>
        <v>43</v>
      </c>
      <c r="W76" s="18" t="str">
        <f t="shared" ca="1" si="5"/>
        <v>25-50</v>
      </c>
      <c r="X76" s="18"/>
    </row>
    <row r="77" spans="1:24" ht="15" customHeight="1" x14ac:dyDescent="0.25">
      <c r="A77" s="4" t="s">
        <v>74</v>
      </c>
      <c r="B77" s="1" t="s">
        <v>227</v>
      </c>
      <c r="C77" s="1" t="s">
        <v>197</v>
      </c>
      <c r="D77" s="1" t="s">
        <v>165</v>
      </c>
      <c r="E77" s="1">
        <v>0</v>
      </c>
      <c r="F77" s="1" t="s">
        <v>262</v>
      </c>
      <c r="G77" s="21">
        <v>1036414.0953848937</v>
      </c>
      <c r="H77" s="1">
        <v>1989</v>
      </c>
      <c r="I77" s="1" t="s">
        <v>243</v>
      </c>
      <c r="J77" s="1">
        <v>42</v>
      </c>
      <c r="K77" s="1">
        <v>1</v>
      </c>
      <c r="L77" s="19">
        <v>46.382379326734487</v>
      </c>
      <c r="M77" s="24">
        <v>20.817090042122256</v>
      </c>
      <c r="N77" s="19">
        <v>62.341673936319594</v>
      </c>
      <c r="O77" s="19">
        <v>35.720736273781341</v>
      </c>
      <c r="P77" s="19">
        <v>41.723968389540616</v>
      </c>
      <c r="Q77" s="1">
        <v>2017</v>
      </c>
      <c r="R77" s="19">
        <v>8760</v>
      </c>
      <c r="S77" s="40">
        <f t="shared" si="3"/>
        <v>46.595459533213848</v>
      </c>
      <c r="T77" s="27"/>
      <c r="U77" s="20"/>
      <c r="V77" s="34">
        <f t="shared" ca="1" si="4"/>
        <v>37</v>
      </c>
      <c r="W77" s="18" t="str">
        <f t="shared" ca="1" si="5"/>
        <v>25-50</v>
      </c>
      <c r="X77" s="18"/>
    </row>
    <row r="78" spans="1:24" ht="15" customHeight="1" x14ac:dyDescent="0.25">
      <c r="A78" s="4" t="s">
        <v>75</v>
      </c>
      <c r="B78" s="1" t="s">
        <v>227</v>
      </c>
      <c r="C78" s="1" t="s">
        <v>223</v>
      </c>
      <c r="D78" s="1" t="s">
        <v>165</v>
      </c>
      <c r="E78" s="1">
        <v>39.796999999999997</v>
      </c>
      <c r="F78" s="1" t="s">
        <v>262</v>
      </c>
      <c r="G78" s="21">
        <v>635563.95165201311</v>
      </c>
      <c r="H78" s="1">
        <v>1953</v>
      </c>
      <c r="I78" s="1" t="s">
        <v>245</v>
      </c>
      <c r="J78" s="1">
        <v>15.2</v>
      </c>
      <c r="K78" s="1">
        <v>3</v>
      </c>
      <c r="L78" s="19">
        <v>54.783010708419084</v>
      </c>
      <c r="M78" s="24">
        <v>11.582193029745609</v>
      </c>
      <c r="N78" s="19">
        <v>65.652108343081238</v>
      </c>
      <c r="O78" s="19">
        <v>52.09017089130662</v>
      </c>
      <c r="P78" s="19">
        <v>33.257973346888981</v>
      </c>
      <c r="Q78" s="1">
        <v>2017</v>
      </c>
      <c r="R78" s="19">
        <v>7582</v>
      </c>
      <c r="S78" s="40">
        <f t="shared" si="3"/>
        <v>50.33341752709228</v>
      </c>
      <c r="T78" s="27"/>
      <c r="U78" s="20"/>
      <c r="V78" s="34">
        <f t="shared" ca="1" si="4"/>
        <v>73</v>
      </c>
      <c r="W78" s="18" t="str">
        <f t="shared" ca="1" si="5"/>
        <v>50-75</v>
      </c>
      <c r="X78" s="18"/>
    </row>
    <row r="79" spans="1:24" ht="15" customHeight="1" x14ac:dyDescent="0.25">
      <c r="A79" s="4" t="s">
        <v>76</v>
      </c>
      <c r="B79" s="1" t="s">
        <v>228</v>
      </c>
      <c r="C79" s="1" t="s">
        <v>172</v>
      </c>
      <c r="D79" s="1" t="s">
        <v>163</v>
      </c>
      <c r="E79" s="1">
        <v>39.83</v>
      </c>
      <c r="F79" s="1" t="s">
        <v>269</v>
      </c>
      <c r="G79" s="21">
        <v>1140158.3488769343</v>
      </c>
      <c r="H79" s="1">
        <v>1981</v>
      </c>
      <c r="I79" s="1" t="s">
        <v>240</v>
      </c>
      <c r="J79" s="1">
        <v>10.7</v>
      </c>
      <c r="K79" s="1">
        <v>4</v>
      </c>
      <c r="L79" s="19">
        <v>56.377416418867497</v>
      </c>
      <c r="M79" s="24">
        <v>18.02695959728241</v>
      </c>
      <c r="N79" s="19">
        <v>38.839988941706295</v>
      </c>
      <c r="O79" s="19">
        <v>50.676495691686249</v>
      </c>
      <c r="P79" s="19">
        <v>22.69914567616766</v>
      </c>
      <c r="Q79" s="1">
        <v>2017</v>
      </c>
      <c r="R79" s="19">
        <v>9422</v>
      </c>
      <c r="S79" s="40">
        <f t="shared" si="3"/>
        <v>37.405210103186732</v>
      </c>
      <c r="T79" s="27"/>
      <c r="U79" s="20"/>
      <c r="V79" s="34">
        <f t="shared" ca="1" si="4"/>
        <v>45</v>
      </c>
      <c r="W79" s="18" t="str">
        <f t="shared" ca="1" si="5"/>
        <v>25-50</v>
      </c>
      <c r="X79" s="18"/>
    </row>
    <row r="80" spans="1:24" ht="15" customHeight="1" x14ac:dyDescent="0.25">
      <c r="A80" s="4" t="s">
        <v>77</v>
      </c>
      <c r="B80" s="1" t="s">
        <v>228</v>
      </c>
      <c r="C80" s="1" t="s">
        <v>190</v>
      </c>
      <c r="D80" s="1" t="s">
        <v>165</v>
      </c>
      <c r="E80" s="1">
        <v>9.0779999999999994</v>
      </c>
      <c r="F80" s="1" t="s">
        <v>266</v>
      </c>
      <c r="G80" s="21">
        <v>708764.45245634648</v>
      </c>
      <c r="H80" s="1">
        <v>1971</v>
      </c>
      <c r="I80" s="1" t="s">
        <v>247</v>
      </c>
      <c r="J80" s="1">
        <v>8.5</v>
      </c>
      <c r="K80" s="1">
        <v>3</v>
      </c>
      <c r="L80" s="19">
        <v>29.830807756503315</v>
      </c>
      <c r="M80" s="24">
        <v>20.061735317631893</v>
      </c>
      <c r="N80" s="19">
        <v>48.681043186970527</v>
      </c>
      <c r="O80" s="19">
        <v>50.449332392072286</v>
      </c>
      <c r="P80" s="19">
        <v>46.100705265996062</v>
      </c>
      <c r="Q80" s="1">
        <v>2018</v>
      </c>
      <c r="R80" s="19">
        <v>13052</v>
      </c>
      <c r="S80" s="40">
        <f t="shared" si="3"/>
        <v>48.410360281679623</v>
      </c>
      <c r="T80" s="27"/>
      <c r="U80" s="20"/>
      <c r="V80" s="34">
        <f t="shared" ca="1" si="4"/>
        <v>55</v>
      </c>
      <c r="W80" s="18" t="str">
        <f t="shared" ca="1" si="5"/>
        <v>50-75</v>
      </c>
      <c r="X80" s="18"/>
    </row>
    <row r="81" spans="1:24" ht="15" customHeight="1" x14ac:dyDescent="0.25">
      <c r="A81" s="4" t="s">
        <v>78</v>
      </c>
      <c r="B81" s="1" t="s">
        <v>227</v>
      </c>
      <c r="C81" s="1" t="s">
        <v>211</v>
      </c>
      <c r="D81" s="1" t="s">
        <v>163</v>
      </c>
      <c r="E81" s="1">
        <v>28.454000000000001</v>
      </c>
      <c r="F81" s="1" t="s">
        <v>269</v>
      </c>
      <c r="G81" s="21">
        <v>1733379.9034312014</v>
      </c>
      <c r="H81" s="1">
        <v>1993</v>
      </c>
      <c r="I81" s="1" t="s">
        <v>244</v>
      </c>
      <c r="J81" s="1">
        <v>14</v>
      </c>
      <c r="K81" s="1">
        <v>3</v>
      </c>
      <c r="L81" s="19">
        <v>70.094990270699043</v>
      </c>
      <c r="M81" s="24">
        <v>24.067177853967181</v>
      </c>
      <c r="N81" s="19">
        <v>46.28327045357706</v>
      </c>
      <c r="O81" s="19">
        <v>52.189286429620651</v>
      </c>
      <c r="P81" s="19">
        <v>51.994984461913788</v>
      </c>
      <c r="Q81" s="1">
        <v>2020</v>
      </c>
      <c r="R81" s="19">
        <v>6852</v>
      </c>
      <c r="S81" s="40">
        <f t="shared" si="3"/>
        <v>50.155847115037169</v>
      </c>
      <c r="T81" s="27"/>
      <c r="U81" s="20"/>
      <c r="V81" s="34">
        <f t="shared" ca="1" si="4"/>
        <v>33</v>
      </c>
      <c r="W81" s="18" t="str">
        <f t="shared" ca="1" si="5"/>
        <v>25-50</v>
      </c>
      <c r="X81" s="18"/>
    </row>
    <row r="82" spans="1:24" ht="15" customHeight="1" x14ac:dyDescent="0.25">
      <c r="A82" s="4" t="s">
        <v>79</v>
      </c>
      <c r="B82" s="1" t="s">
        <v>227</v>
      </c>
      <c r="C82" s="1" t="s">
        <v>211</v>
      </c>
      <c r="D82" s="1" t="s">
        <v>164</v>
      </c>
      <c r="E82" s="1">
        <v>28.431000000000001</v>
      </c>
      <c r="F82" s="1" t="s">
        <v>269</v>
      </c>
      <c r="G82" s="21">
        <v>1723875.7994139662</v>
      </c>
      <c r="H82" s="1">
        <v>1994</v>
      </c>
      <c r="I82" s="1" t="s">
        <v>244</v>
      </c>
      <c r="J82" s="1">
        <v>14</v>
      </c>
      <c r="K82" s="1">
        <v>3</v>
      </c>
      <c r="L82" s="19">
        <v>70.703494384065266</v>
      </c>
      <c r="M82" s="24">
        <v>21.144158039837546</v>
      </c>
      <c r="N82" s="19">
        <v>66.065726154032987</v>
      </c>
      <c r="O82" s="19">
        <v>44.047704281219865</v>
      </c>
      <c r="P82" s="19">
        <v>45.390725082193413</v>
      </c>
      <c r="Q82" s="1">
        <v>2021</v>
      </c>
      <c r="R82" s="19">
        <v>14342</v>
      </c>
      <c r="S82" s="40">
        <f t="shared" si="3"/>
        <v>51.834718505815424</v>
      </c>
      <c r="T82" s="27"/>
      <c r="U82" s="20"/>
      <c r="V82" s="34">
        <f t="shared" ca="1" si="4"/>
        <v>32</v>
      </c>
      <c r="W82" s="18" t="str">
        <f t="shared" ca="1" si="5"/>
        <v>25-50</v>
      </c>
      <c r="X82" s="18"/>
    </row>
    <row r="83" spans="1:24" ht="15" customHeight="1" x14ac:dyDescent="0.25">
      <c r="A83" s="4" t="s">
        <v>80</v>
      </c>
      <c r="B83" s="1" t="s">
        <v>227</v>
      </c>
      <c r="C83" s="1" t="s">
        <v>180</v>
      </c>
      <c r="D83" s="1" t="s">
        <v>163</v>
      </c>
      <c r="E83" s="1">
        <v>17.122</v>
      </c>
      <c r="F83" s="1" t="s">
        <v>241</v>
      </c>
      <c r="G83" s="21">
        <v>2343783.222424122</v>
      </c>
      <c r="H83" s="1">
        <v>1983</v>
      </c>
      <c r="I83" s="1" t="s">
        <v>260</v>
      </c>
      <c r="J83" s="1">
        <v>38</v>
      </c>
      <c r="K83" s="1">
        <v>4</v>
      </c>
      <c r="L83" s="19">
        <v>142.05794490851821</v>
      </c>
      <c r="M83" s="24">
        <v>13.902623490354765</v>
      </c>
      <c r="N83" s="19">
        <v>50.720127880372971</v>
      </c>
      <c r="O83" s="19">
        <v>46.76422180402534</v>
      </c>
      <c r="P83" s="19">
        <v>37.730242449439466</v>
      </c>
      <c r="Q83" s="1">
        <v>2020</v>
      </c>
      <c r="R83" s="19">
        <v>17235</v>
      </c>
      <c r="S83" s="40">
        <f t="shared" si="3"/>
        <v>45.071530711279259</v>
      </c>
      <c r="T83" s="27"/>
      <c r="U83" s="20"/>
      <c r="V83" s="34">
        <f t="shared" ca="1" si="4"/>
        <v>43</v>
      </c>
      <c r="W83" s="18" t="str">
        <f t="shared" ca="1" si="5"/>
        <v>25-50</v>
      </c>
      <c r="X83" s="18"/>
    </row>
    <row r="84" spans="1:24" ht="15" customHeight="1" x14ac:dyDescent="0.25">
      <c r="A84" s="4" t="s">
        <v>81</v>
      </c>
      <c r="B84" s="1" t="s">
        <v>227</v>
      </c>
      <c r="C84" s="1" t="s">
        <v>180</v>
      </c>
      <c r="D84" s="1" t="s">
        <v>164</v>
      </c>
      <c r="E84" s="1">
        <v>7.9189999999999996</v>
      </c>
      <c r="F84" s="1" t="s">
        <v>241</v>
      </c>
      <c r="G84" s="21">
        <v>4152547.5304502752</v>
      </c>
      <c r="H84" s="1">
        <v>1994</v>
      </c>
      <c r="I84" s="1" t="s">
        <v>260</v>
      </c>
      <c r="J84" s="1">
        <v>36.6</v>
      </c>
      <c r="K84" s="1">
        <v>4</v>
      </c>
      <c r="L84" s="19">
        <v>222.13232933960009</v>
      </c>
      <c r="M84" s="24">
        <v>17.003680018177842</v>
      </c>
      <c r="N84" s="19">
        <v>52.437615087065112</v>
      </c>
      <c r="O84" s="19">
        <v>58.114948853042293</v>
      </c>
      <c r="P84" s="19">
        <v>56.405363951285359</v>
      </c>
      <c r="Q84" s="1">
        <v>2021</v>
      </c>
      <c r="R84" s="19">
        <v>18798</v>
      </c>
      <c r="S84" s="40">
        <f t="shared" si="3"/>
        <v>55.65264263046425</v>
      </c>
      <c r="T84" s="27"/>
      <c r="U84" s="20"/>
      <c r="V84" s="34">
        <f t="shared" ca="1" si="4"/>
        <v>32</v>
      </c>
      <c r="W84" s="18" t="str">
        <f t="shared" ca="1" si="5"/>
        <v>25-50</v>
      </c>
      <c r="X84" s="18"/>
    </row>
    <row r="85" spans="1:24" ht="15" customHeight="1" x14ac:dyDescent="0.25">
      <c r="A85" s="4" t="s">
        <v>82</v>
      </c>
      <c r="B85" s="1" t="s">
        <v>227</v>
      </c>
      <c r="C85" s="1" t="s">
        <v>202</v>
      </c>
      <c r="D85" s="1" t="s">
        <v>165</v>
      </c>
      <c r="E85" s="1">
        <v>10.769</v>
      </c>
      <c r="F85" s="1" t="s">
        <v>241</v>
      </c>
      <c r="G85" s="21">
        <v>1179631.8075396237</v>
      </c>
      <c r="H85" s="1">
        <v>1988</v>
      </c>
      <c r="I85" s="1" t="s">
        <v>243</v>
      </c>
      <c r="J85" s="1">
        <v>28</v>
      </c>
      <c r="K85" s="1">
        <v>2</v>
      </c>
      <c r="L85" s="19">
        <v>59.862615181477175</v>
      </c>
      <c r="M85" s="24">
        <v>19.148780705735351</v>
      </c>
      <c r="N85" s="19">
        <v>54.879325289770335</v>
      </c>
      <c r="O85" s="19">
        <v>74.794610467161178</v>
      </c>
      <c r="P85" s="19">
        <v>31.937419903306115</v>
      </c>
      <c r="Q85" s="1">
        <v>2021</v>
      </c>
      <c r="R85" s="19">
        <v>4959</v>
      </c>
      <c r="S85" s="40">
        <f t="shared" si="3"/>
        <v>53.870451886745876</v>
      </c>
      <c r="T85" s="27"/>
      <c r="U85" s="20"/>
      <c r="V85" s="34">
        <f t="shared" ca="1" si="4"/>
        <v>38</v>
      </c>
      <c r="W85" s="18" t="str">
        <f t="shared" ca="1" si="5"/>
        <v>25-50</v>
      </c>
      <c r="X85" s="18"/>
    </row>
    <row r="86" spans="1:24" ht="15" customHeight="1" x14ac:dyDescent="0.25">
      <c r="A86" s="4" t="s">
        <v>83</v>
      </c>
      <c r="B86" s="1" t="s">
        <v>227</v>
      </c>
      <c r="C86" s="1" t="s">
        <v>187</v>
      </c>
      <c r="D86" s="1" t="s">
        <v>165</v>
      </c>
      <c r="E86" s="1">
        <v>39.875</v>
      </c>
      <c r="F86" s="1" t="s">
        <v>276</v>
      </c>
      <c r="G86" s="1">
        <v>310407.48618233349</v>
      </c>
      <c r="H86" s="1">
        <v>1965</v>
      </c>
      <c r="I86" s="1" t="s">
        <v>252</v>
      </c>
      <c r="J86" s="1">
        <v>15.2</v>
      </c>
      <c r="K86" s="1">
        <v>3</v>
      </c>
      <c r="L86" s="19">
        <v>43.400409819449706</v>
      </c>
      <c r="M86" s="24">
        <v>6.195407167276203</v>
      </c>
      <c r="N86" s="19">
        <v>56.061146347899026</v>
      </c>
      <c r="O86" s="19">
        <v>51.968477700160022</v>
      </c>
      <c r="P86" s="19">
        <v>17.606721418578726</v>
      </c>
      <c r="Q86" s="1">
        <v>2017</v>
      </c>
      <c r="R86" s="19">
        <v>3001</v>
      </c>
      <c r="S86" s="40">
        <f t="shared" si="3"/>
        <v>41.878781822212595</v>
      </c>
      <c r="T86" s="27"/>
      <c r="U86" s="20"/>
      <c r="V86" s="34">
        <f t="shared" ca="1" si="4"/>
        <v>61</v>
      </c>
      <c r="W86" s="18" t="str">
        <f t="shared" ca="1" si="5"/>
        <v>50-75</v>
      </c>
      <c r="X86" s="18"/>
    </row>
    <row r="87" spans="1:24" ht="15" customHeight="1" x14ac:dyDescent="0.25">
      <c r="A87" s="4" t="s">
        <v>84</v>
      </c>
      <c r="B87" s="1" t="s">
        <v>227</v>
      </c>
      <c r="C87" s="1" t="s">
        <v>177</v>
      </c>
      <c r="D87" s="1" t="s">
        <v>165</v>
      </c>
      <c r="E87" s="1">
        <v>60.908999999999999</v>
      </c>
      <c r="F87" s="1" t="s">
        <v>241</v>
      </c>
      <c r="G87" s="1">
        <v>2410608.3017189084</v>
      </c>
      <c r="H87" s="1">
        <v>1962</v>
      </c>
      <c r="I87" s="1" t="s">
        <v>265</v>
      </c>
      <c r="J87" s="1">
        <v>24.4</v>
      </c>
      <c r="K87" s="1">
        <v>3</v>
      </c>
      <c r="L87" s="19">
        <v>82.926857789025973</v>
      </c>
      <c r="M87" s="24">
        <v>25.467278595534623</v>
      </c>
      <c r="N87" s="19">
        <v>48.729397926052357</v>
      </c>
      <c r="O87" s="19">
        <v>60.820743677496573</v>
      </c>
      <c r="P87" s="19">
        <v>27.232998260197519</v>
      </c>
      <c r="Q87" s="1">
        <v>2018</v>
      </c>
      <c r="R87" s="19">
        <v>2299</v>
      </c>
      <c r="S87" s="40">
        <f t="shared" si="3"/>
        <v>45.594379954582145</v>
      </c>
      <c r="T87" s="27"/>
      <c r="U87" s="20"/>
      <c r="V87" s="34">
        <f t="shared" ca="1" si="4"/>
        <v>64</v>
      </c>
      <c r="W87" s="18" t="str">
        <f t="shared" ca="1" si="5"/>
        <v>50-75</v>
      </c>
      <c r="X87" s="18"/>
    </row>
    <row r="88" spans="1:24" ht="15" customHeight="1" x14ac:dyDescent="0.25">
      <c r="A88" s="4" t="s">
        <v>85</v>
      </c>
      <c r="B88" s="1" t="s">
        <v>227</v>
      </c>
      <c r="C88" s="1" t="s">
        <v>180</v>
      </c>
      <c r="D88" s="1" t="s">
        <v>163</v>
      </c>
      <c r="E88" s="1">
        <v>11.836</v>
      </c>
      <c r="F88" s="1" t="s">
        <v>262</v>
      </c>
      <c r="G88" s="1">
        <v>2379421.5787225873</v>
      </c>
      <c r="H88" s="1">
        <v>2003</v>
      </c>
      <c r="I88" s="1" t="s">
        <v>260</v>
      </c>
      <c r="J88" s="1">
        <v>35</v>
      </c>
      <c r="K88" s="1">
        <v>3</v>
      </c>
      <c r="L88" s="19">
        <v>122.94444299635464</v>
      </c>
      <c r="M88" s="24">
        <v>16.810909898893534</v>
      </c>
      <c r="N88" s="19">
        <v>55.512157704762721</v>
      </c>
      <c r="O88" s="19">
        <v>73.306797560032777</v>
      </c>
      <c r="P88" s="19">
        <v>37.09826493367234</v>
      </c>
      <c r="Q88" s="1">
        <v>2021</v>
      </c>
      <c r="R88" s="19">
        <v>15744</v>
      </c>
      <c r="S88" s="40">
        <f t="shared" si="3"/>
        <v>55.305740066155948</v>
      </c>
      <c r="T88" s="27"/>
      <c r="U88" s="20"/>
      <c r="V88" s="34">
        <f t="shared" ca="1" si="4"/>
        <v>23</v>
      </c>
      <c r="W88" s="18" t="str">
        <f t="shared" ca="1" si="5"/>
        <v>0-25</v>
      </c>
      <c r="X88" s="18"/>
    </row>
    <row r="89" spans="1:24" ht="15" customHeight="1" x14ac:dyDescent="0.25">
      <c r="A89" s="4" t="s">
        <v>86</v>
      </c>
      <c r="B89" s="1" t="s">
        <v>227</v>
      </c>
      <c r="C89" s="1" t="s">
        <v>180</v>
      </c>
      <c r="D89" s="1" t="s">
        <v>164</v>
      </c>
      <c r="E89" s="1">
        <v>2.6080000000000001</v>
      </c>
      <c r="F89" s="1" t="s">
        <v>262</v>
      </c>
      <c r="G89" s="1">
        <v>3458489.6363846576</v>
      </c>
      <c r="H89" s="1">
        <v>1965</v>
      </c>
      <c r="I89" s="1" t="s">
        <v>268</v>
      </c>
      <c r="J89" s="1">
        <v>25</v>
      </c>
      <c r="K89" s="1">
        <v>4</v>
      </c>
      <c r="L89" s="19">
        <v>126.01826019061373</v>
      </c>
      <c r="M89" s="24">
        <v>24.453686187163452</v>
      </c>
      <c r="N89" s="19">
        <v>50.426678650060353</v>
      </c>
      <c r="O89" s="19">
        <v>47.484186089556218</v>
      </c>
      <c r="P89" s="19">
        <v>60.996850604553202</v>
      </c>
      <c r="Q89" s="1">
        <v>2019</v>
      </c>
      <c r="R89" s="19">
        <v>10781</v>
      </c>
      <c r="S89" s="40">
        <f t="shared" si="3"/>
        <v>52.969238448056593</v>
      </c>
      <c r="T89" s="27"/>
      <c r="U89" s="20"/>
      <c r="V89" s="34">
        <f t="shared" ca="1" si="4"/>
        <v>61</v>
      </c>
      <c r="W89" s="18" t="str">
        <f t="shared" ca="1" si="5"/>
        <v>50-75</v>
      </c>
      <c r="X89" s="18"/>
    </row>
    <row r="90" spans="1:24" ht="15" customHeight="1" x14ac:dyDescent="0.25">
      <c r="A90" s="4" t="s">
        <v>87</v>
      </c>
      <c r="B90" s="1" t="s">
        <v>228</v>
      </c>
      <c r="C90" s="1" t="s">
        <v>224</v>
      </c>
      <c r="D90" s="1" t="s">
        <v>165</v>
      </c>
      <c r="E90" s="1">
        <v>15.204000000000001</v>
      </c>
      <c r="F90" s="1" t="s">
        <v>266</v>
      </c>
      <c r="G90" s="1">
        <v>44744.264739635</v>
      </c>
      <c r="H90" s="1">
        <v>1949</v>
      </c>
      <c r="I90" s="1" t="s">
        <v>246</v>
      </c>
      <c r="J90" s="1">
        <v>1.8</v>
      </c>
      <c r="K90" s="1">
        <v>1</v>
      </c>
      <c r="L90" s="19">
        <v>3.4649720907004609</v>
      </c>
      <c r="M90" s="24">
        <v>12.7027999203987</v>
      </c>
      <c r="N90" s="19">
        <v>61.443230278748814</v>
      </c>
      <c r="O90" s="19">
        <v>51.353430575723031</v>
      </c>
      <c r="P90" s="19">
        <v>62.660891992216008</v>
      </c>
      <c r="Q90" s="1">
        <v>2017</v>
      </c>
      <c r="R90" s="19">
        <v>2100</v>
      </c>
      <c r="S90" s="40">
        <f t="shared" si="3"/>
        <v>58.485850948895951</v>
      </c>
      <c r="T90" s="27"/>
      <c r="U90" s="20"/>
      <c r="V90" s="34">
        <f t="shared" ca="1" si="4"/>
        <v>77</v>
      </c>
      <c r="W90" s="18" t="str">
        <f t="shared" ca="1" si="5"/>
        <v>75-100</v>
      </c>
      <c r="X90" s="18"/>
    </row>
    <row r="91" spans="1:24" ht="15" customHeight="1" x14ac:dyDescent="0.25">
      <c r="A91" s="4" t="s">
        <v>88</v>
      </c>
      <c r="B91" s="1" t="s">
        <v>228</v>
      </c>
      <c r="C91" s="1" t="s">
        <v>220</v>
      </c>
      <c r="D91" s="1" t="s">
        <v>165</v>
      </c>
      <c r="E91" s="1">
        <v>15.842000000000001</v>
      </c>
      <c r="F91" s="1" t="s">
        <v>262</v>
      </c>
      <c r="G91" s="1">
        <v>135373.91518228239</v>
      </c>
      <c r="H91" s="1">
        <v>1996</v>
      </c>
      <c r="I91" s="1" t="s">
        <v>239</v>
      </c>
      <c r="J91" s="1">
        <v>6</v>
      </c>
      <c r="K91" s="1">
        <v>1</v>
      </c>
      <c r="L91" s="19">
        <v>9.6072504165758303</v>
      </c>
      <c r="M91" s="24">
        <v>13.656773138264459</v>
      </c>
      <c r="N91" s="19">
        <v>66.572603105028762</v>
      </c>
      <c r="O91" s="19">
        <v>56.848385085136343</v>
      </c>
      <c r="P91" s="19">
        <v>36.539789850251111</v>
      </c>
      <c r="Q91" s="1">
        <v>2021</v>
      </c>
      <c r="R91" s="19">
        <v>17630</v>
      </c>
      <c r="S91" s="40">
        <f t="shared" si="3"/>
        <v>53.320259346805408</v>
      </c>
      <c r="T91" s="27"/>
      <c r="U91" s="20"/>
      <c r="V91" s="34">
        <f t="shared" ca="1" si="4"/>
        <v>30</v>
      </c>
      <c r="W91" s="18" t="str">
        <f t="shared" ca="1" si="5"/>
        <v>25-50</v>
      </c>
      <c r="X91" s="18"/>
    </row>
    <row r="92" spans="1:24" ht="15" customHeight="1" x14ac:dyDescent="0.25">
      <c r="A92" s="4" t="s">
        <v>89</v>
      </c>
      <c r="B92" s="1" t="s">
        <v>227</v>
      </c>
      <c r="C92" s="1" t="s">
        <v>212</v>
      </c>
      <c r="D92" s="1" t="s">
        <v>165</v>
      </c>
      <c r="E92" s="1">
        <v>20.34</v>
      </c>
      <c r="F92" s="1" t="s">
        <v>262</v>
      </c>
      <c r="G92" s="1">
        <v>2775439.0001021791</v>
      </c>
      <c r="H92" s="1">
        <v>1958</v>
      </c>
      <c r="I92" s="1" t="s">
        <v>268</v>
      </c>
      <c r="J92" s="1">
        <v>35.1</v>
      </c>
      <c r="K92" s="1">
        <v>8</v>
      </c>
      <c r="L92" s="19">
        <v>261.43042799043621</v>
      </c>
      <c r="M92" s="24">
        <v>9.3560845524260312</v>
      </c>
      <c r="N92" s="19">
        <v>74.55442320340083</v>
      </c>
      <c r="O92" s="19">
        <v>53.880620366741127</v>
      </c>
      <c r="P92" s="19">
        <v>53.443663686171007</v>
      </c>
      <c r="Q92" s="1">
        <v>2018</v>
      </c>
      <c r="R92" s="19">
        <v>18119</v>
      </c>
      <c r="S92" s="40">
        <f t="shared" si="3"/>
        <v>60.626235752104321</v>
      </c>
      <c r="T92" s="27"/>
      <c r="U92" s="20"/>
      <c r="V92" s="34">
        <f t="shared" ca="1" si="4"/>
        <v>68</v>
      </c>
      <c r="W92" s="18" t="str">
        <f t="shared" ca="1" si="5"/>
        <v>50-75</v>
      </c>
      <c r="X92" s="18"/>
    </row>
    <row r="93" spans="1:24" ht="15" customHeight="1" x14ac:dyDescent="0.25">
      <c r="A93" s="4" t="s">
        <v>90</v>
      </c>
      <c r="B93" s="1" t="s">
        <v>228</v>
      </c>
      <c r="C93" s="1" t="s">
        <v>212</v>
      </c>
      <c r="D93" s="1" t="s">
        <v>165</v>
      </c>
      <c r="E93" s="1">
        <v>38.231000000000002</v>
      </c>
      <c r="F93" s="1" t="s">
        <v>269</v>
      </c>
      <c r="G93" s="1">
        <v>719379.74848566833</v>
      </c>
      <c r="H93" s="1">
        <v>1982</v>
      </c>
      <c r="I93" s="1" t="s">
        <v>240</v>
      </c>
      <c r="J93" s="1">
        <v>9.1</v>
      </c>
      <c r="K93" s="1">
        <v>3</v>
      </c>
      <c r="L93" s="19">
        <v>47.248472884916779</v>
      </c>
      <c r="M93" s="24">
        <v>13.708232964879684</v>
      </c>
      <c r="N93" s="19">
        <v>49.601371591791178</v>
      </c>
      <c r="O93" s="19">
        <v>35.819918902381652</v>
      </c>
      <c r="P93" s="19">
        <v>46.563473059856939</v>
      </c>
      <c r="Q93" s="1">
        <v>2020</v>
      </c>
      <c r="R93" s="19">
        <v>8054</v>
      </c>
      <c r="S93" s="40">
        <f t="shared" si="3"/>
        <v>43.994921184676592</v>
      </c>
      <c r="T93" s="27"/>
      <c r="U93" s="20"/>
      <c r="V93" s="34">
        <f t="shared" ca="1" si="4"/>
        <v>44</v>
      </c>
      <c r="W93" s="18" t="str">
        <f t="shared" ca="1" si="5"/>
        <v>25-50</v>
      </c>
      <c r="X93" s="18"/>
    </row>
    <row r="94" spans="1:24" ht="15" customHeight="1" x14ac:dyDescent="0.25">
      <c r="A94" s="4" t="s">
        <v>91</v>
      </c>
      <c r="B94" s="1" t="s">
        <v>228</v>
      </c>
      <c r="C94" s="1" t="s">
        <v>223</v>
      </c>
      <c r="D94" s="1" t="s">
        <v>165</v>
      </c>
      <c r="E94" s="1">
        <v>43.064</v>
      </c>
      <c r="F94" s="1" t="s">
        <v>266</v>
      </c>
      <c r="G94" s="1">
        <v>49228.058433110418</v>
      </c>
      <c r="H94" s="1">
        <v>1948</v>
      </c>
      <c r="I94" s="1" t="s">
        <v>246</v>
      </c>
      <c r="J94" s="1">
        <v>2</v>
      </c>
      <c r="K94" s="1">
        <v>1</v>
      </c>
      <c r="L94" s="19">
        <v>2.6342788940730077</v>
      </c>
      <c r="M94" s="24">
        <v>16.139593641535349</v>
      </c>
      <c r="N94" s="19">
        <v>66.397481459746984</v>
      </c>
      <c r="O94" s="19">
        <v>17.942490826822279</v>
      </c>
      <c r="P94" s="19">
        <v>45.760520512239502</v>
      </c>
      <c r="Q94" s="1">
        <v>2019</v>
      </c>
      <c r="R94" s="19">
        <v>6893</v>
      </c>
      <c r="S94" s="40">
        <f t="shared" si="3"/>
        <v>43.36683093293626</v>
      </c>
      <c r="T94" s="27"/>
      <c r="U94" s="20"/>
      <c r="V94" s="34">
        <f t="shared" ca="1" si="4"/>
        <v>78</v>
      </c>
      <c r="W94" s="18" t="str">
        <f t="shared" ca="1" si="5"/>
        <v>75-100</v>
      </c>
      <c r="X94" s="18"/>
    </row>
    <row r="95" spans="1:24" ht="15" customHeight="1" x14ac:dyDescent="0.25">
      <c r="A95" s="4" t="s">
        <v>92</v>
      </c>
      <c r="B95" s="1" t="s">
        <v>227</v>
      </c>
      <c r="C95" s="1" t="s">
        <v>213</v>
      </c>
      <c r="D95" s="1" t="s">
        <v>165</v>
      </c>
      <c r="E95" s="1">
        <v>38.654000000000003</v>
      </c>
      <c r="F95" s="1" t="s">
        <v>264</v>
      </c>
      <c r="G95" s="1">
        <v>2600623.2398340004</v>
      </c>
      <c r="H95" s="1">
        <v>1966</v>
      </c>
      <c r="I95" s="1" t="s">
        <v>271</v>
      </c>
      <c r="J95" s="1">
        <v>19.8</v>
      </c>
      <c r="K95" s="1">
        <v>3</v>
      </c>
      <c r="L95" s="19">
        <v>111.98144712839648</v>
      </c>
      <c r="M95" s="24">
        <v>19.37247091580489</v>
      </c>
      <c r="N95" s="19">
        <v>58.510805835608117</v>
      </c>
      <c r="O95" s="19">
        <v>71.221516988976191</v>
      </c>
      <c r="P95" s="19">
        <v>56.588662225403176</v>
      </c>
      <c r="Q95" s="1">
        <v>2021</v>
      </c>
      <c r="R95" s="19">
        <v>15603</v>
      </c>
      <c r="S95" s="40">
        <f t="shared" si="3"/>
        <v>62.106995016662495</v>
      </c>
      <c r="T95" s="27"/>
      <c r="U95" s="20"/>
      <c r="V95" s="34">
        <f t="shared" ca="1" si="4"/>
        <v>60</v>
      </c>
      <c r="W95" s="18" t="str">
        <f t="shared" ca="1" si="5"/>
        <v>50-75</v>
      </c>
      <c r="X95" s="18"/>
    </row>
    <row r="96" spans="1:24" ht="15" customHeight="1" x14ac:dyDescent="0.25">
      <c r="A96" s="4" t="s">
        <v>93</v>
      </c>
      <c r="B96" s="1" t="s">
        <v>227</v>
      </c>
      <c r="C96" s="1" t="s">
        <v>179</v>
      </c>
      <c r="D96" s="1" t="s">
        <v>163</v>
      </c>
      <c r="E96" s="1">
        <v>31.64</v>
      </c>
      <c r="F96" s="1" t="s">
        <v>264</v>
      </c>
      <c r="G96" s="1">
        <v>1389660.8568810564</v>
      </c>
      <c r="H96" s="1">
        <v>1961</v>
      </c>
      <c r="I96" s="1" t="s">
        <v>271</v>
      </c>
      <c r="J96" s="1">
        <v>23.2</v>
      </c>
      <c r="K96" s="1">
        <v>3</v>
      </c>
      <c r="L96" s="19">
        <v>80.558097441778045</v>
      </c>
      <c r="M96" s="24">
        <v>14.65745902336487</v>
      </c>
      <c r="N96" s="19">
        <v>65.624380358721211</v>
      </c>
      <c r="O96" s="19">
        <v>69.076531535290712</v>
      </c>
      <c r="P96" s="19">
        <v>29.748650775009796</v>
      </c>
      <c r="Q96" s="1">
        <v>2017</v>
      </c>
      <c r="R96" s="19">
        <v>10662</v>
      </c>
      <c r="S96" s="40">
        <f t="shared" si="3"/>
        <v>54.81652088967391</v>
      </c>
      <c r="T96" s="27"/>
      <c r="U96" s="20"/>
      <c r="V96" s="34">
        <f t="shared" ca="1" si="4"/>
        <v>65</v>
      </c>
      <c r="W96" s="18" t="str">
        <f t="shared" ca="1" si="5"/>
        <v>50-75</v>
      </c>
      <c r="X96" s="18"/>
    </row>
    <row r="97" spans="1:24" ht="15" customHeight="1" x14ac:dyDescent="0.25">
      <c r="A97" s="4" t="s">
        <v>94</v>
      </c>
      <c r="B97" s="1" t="s">
        <v>227</v>
      </c>
      <c r="C97" s="1" t="s">
        <v>179</v>
      </c>
      <c r="D97" s="1" t="s">
        <v>164</v>
      </c>
      <c r="E97" s="1">
        <v>31.6</v>
      </c>
      <c r="F97" s="1" t="s">
        <v>241</v>
      </c>
      <c r="G97" s="1">
        <v>1565196.7420617221</v>
      </c>
      <c r="H97" s="1">
        <v>1959</v>
      </c>
      <c r="I97" s="1" t="s">
        <v>271</v>
      </c>
      <c r="J97" s="1">
        <v>23.2</v>
      </c>
      <c r="K97" s="1">
        <v>3</v>
      </c>
      <c r="L97" s="19">
        <v>83.645022014082429</v>
      </c>
      <c r="M97" s="24">
        <v>18.052494635541894</v>
      </c>
      <c r="N97" s="19">
        <v>74.494909524563241</v>
      </c>
      <c r="O97" s="19">
        <v>60.240447073565711</v>
      </c>
      <c r="P97" s="19">
        <v>35.591852436839218</v>
      </c>
      <c r="Q97" s="1">
        <v>2021</v>
      </c>
      <c r="R97" s="19">
        <v>7353</v>
      </c>
      <c r="S97" s="40">
        <f t="shared" si="3"/>
        <v>56.77573634498939</v>
      </c>
      <c r="T97" s="27"/>
      <c r="U97" s="20"/>
      <c r="V97" s="34">
        <f t="shared" ca="1" si="4"/>
        <v>67</v>
      </c>
      <c r="W97" s="18" t="str">
        <f t="shared" ca="1" si="5"/>
        <v>50-75</v>
      </c>
      <c r="X97" s="18"/>
    </row>
    <row r="98" spans="1:24" ht="15" customHeight="1" x14ac:dyDescent="0.25">
      <c r="A98" s="4" t="s">
        <v>95</v>
      </c>
      <c r="B98" s="1" t="s">
        <v>227</v>
      </c>
      <c r="C98" s="1" t="s">
        <v>198</v>
      </c>
      <c r="D98" s="1" t="s">
        <v>164</v>
      </c>
      <c r="E98" s="1">
        <v>0.49399999999999999</v>
      </c>
      <c r="F98" s="1" t="s">
        <v>259</v>
      </c>
      <c r="G98" s="1">
        <v>5451789.8438563421</v>
      </c>
      <c r="H98" s="1">
        <v>1975</v>
      </c>
      <c r="I98" s="1" t="s">
        <v>261</v>
      </c>
      <c r="J98" s="1">
        <v>29</v>
      </c>
      <c r="K98" s="1">
        <v>3</v>
      </c>
      <c r="L98" s="19">
        <v>131.56089458468296</v>
      </c>
      <c r="M98" s="24">
        <v>35.557486738563682</v>
      </c>
      <c r="N98" s="19">
        <v>44.592231870089449</v>
      </c>
      <c r="O98" s="19">
        <v>62.975297089877557</v>
      </c>
      <c r="P98" s="19">
        <v>44.186606700261343</v>
      </c>
      <c r="Q98" s="1">
        <v>2020</v>
      </c>
      <c r="R98" s="19">
        <v>6821</v>
      </c>
      <c r="S98" s="40">
        <f t="shared" si="3"/>
        <v>50.584711886742781</v>
      </c>
      <c r="T98" s="27"/>
      <c r="U98" s="20"/>
      <c r="V98" s="34">
        <f t="shared" ca="1" si="4"/>
        <v>51</v>
      </c>
      <c r="W98" s="18" t="str">
        <f t="shared" ca="1" si="5"/>
        <v>50-75</v>
      </c>
      <c r="X98" s="18"/>
    </row>
    <row r="99" spans="1:24" ht="15" customHeight="1" x14ac:dyDescent="0.25">
      <c r="A99" s="4" t="s">
        <v>96</v>
      </c>
      <c r="B99" s="1" t="s">
        <v>227</v>
      </c>
      <c r="C99" s="1" t="s">
        <v>214</v>
      </c>
      <c r="D99" s="1" t="s">
        <v>165</v>
      </c>
      <c r="E99" s="1">
        <v>23.417999999999999</v>
      </c>
      <c r="F99" s="1" t="s">
        <v>262</v>
      </c>
      <c r="G99" s="1">
        <v>966844.53008547809</v>
      </c>
      <c r="H99" s="1">
        <v>1959</v>
      </c>
      <c r="I99" s="1" t="s">
        <v>268</v>
      </c>
      <c r="J99" s="1">
        <v>18.3</v>
      </c>
      <c r="K99" s="1">
        <v>3</v>
      </c>
      <c r="L99" s="19">
        <v>64.986878087560655</v>
      </c>
      <c r="M99" s="24">
        <v>12.572255634631937</v>
      </c>
      <c r="N99" s="19">
        <v>47.053471725931374</v>
      </c>
      <c r="O99" s="19">
        <v>70.610391386646654</v>
      </c>
      <c r="P99" s="19">
        <v>53.518840060655471</v>
      </c>
      <c r="Q99" s="1">
        <v>2018</v>
      </c>
      <c r="R99" s="19">
        <v>8547</v>
      </c>
      <c r="S99" s="40">
        <f t="shared" si="3"/>
        <v>57.060901057744502</v>
      </c>
      <c r="T99" s="27"/>
      <c r="U99" s="20"/>
      <c r="V99" s="34">
        <f t="shared" ca="1" si="4"/>
        <v>67</v>
      </c>
      <c r="W99" s="18" t="str">
        <f t="shared" ca="1" si="5"/>
        <v>50-75</v>
      </c>
      <c r="X99" s="18"/>
    </row>
    <row r="100" spans="1:24" ht="15" customHeight="1" x14ac:dyDescent="0.25">
      <c r="A100" s="4" t="s">
        <v>97</v>
      </c>
      <c r="B100" s="1" t="s">
        <v>227</v>
      </c>
      <c r="C100" s="1" t="s">
        <v>184</v>
      </c>
      <c r="D100" s="1" t="s">
        <v>163</v>
      </c>
      <c r="E100" s="1">
        <v>25.29</v>
      </c>
      <c r="F100" s="1" t="s">
        <v>259</v>
      </c>
      <c r="G100" s="1">
        <v>1508536.1697173163</v>
      </c>
      <c r="H100" s="1">
        <v>1960</v>
      </c>
      <c r="I100" s="1" t="s">
        <v>275</v>
      </c>
      <c r="J100" s="1">
        <v>16.5</v>
      </c>
      <c r="K100" s="1">
        <v>3</v>
      </c>
      <c r="L100" s="19">
        <v>66.029646786409117</v>
      </c>
      <c r="M100" s="24">
        <v>19.761889199906463</v>
      </c>
      <c r="N100" s="19">
        <v>56.46074137004323</v>
      </c>
      <c r="O100" s="19">
        <v>49.732697915263245</v>
      </c>
      <c r="P100" s="19">
        <v>31.254595714744227</v>
      </c>
      <c r="Q100" s="1">
        <v>2018</v>
      </c>
      <c r="R100" s="19">
        <v>12727</v>
      </c>
      <c r="S100" s="40">
        <f t="shared" si="3"/>
        <v>45.816011666683572</v>
      </c>
      <c r="T100" s="27"/>
      <c r="U100" s="20"/>
      <c r="V100" s="34">
        <f t="shared" ca="1" si="4"/>
        <v>66</v>
      </c>
      <c r="W100" s="18" t="str">
        <f t="shared" ca="1" si="5"/>
        <v>50-75</v>
      </c>
      <c r="X100" s="18"/>
    </row>
    <row r="101" spans="1:24" ht="15" customHeight="1" x14ac:dyDescent="0.25">
      <c r="A101" s="4" t="s">
        <v>98</v>
      </c>
      <c r="B101" s="1" t="s">
        <v>227</v>
      </c>
      <c r="C101" s="1" t="s">
        <v>184</v>
      </c>
      <c r="D101" s="1" t="s">
        <v>163</v>
      </c>
      <c r="E101" s="1">
        <v>26.035</v>
      </c>
      <c r="F101" s="1" t="s">
        <v>259</v>
      </c>
      <c r="G101" s="1">
        <v>1215906.9599169267</v>
      </c>
      <c r="H101" s="1">
        <v>1963</v>
      </c>
      <c r="I101" s="1" t="s">
        <v>265</v>
      </c>
      <c r="J101" s="1">
        <v>14.2</v>
      </c>
      <c r="K101" s="1">
        <v>4</v>
      </c>
      <c r="L101" s="19">
        <v>94.862236700883187</v>
      </c>
      <c r="M101" s="24">
        <v>12.40267026614214</v>
      </c>
      <c r="N101" s="19">
        <v>78.344578091068513</v>
      </c>
      <c r="O101" s="19">
        <v>57.021758565134057</v>
      </c>
      <c r="P101" s="19">
        <v>53.016392041613514</v>
      </c>
      <c r="Q101" s="1">
        <v>2018</v>
      </c>
      <c r="R101" s="19">
        <v>3902</v>
      </c>
      <c r="S101" s="40">
        <f t="shared" si="3"/>
        <v>62.794242899272035</v>
      </c>
      <c r="T101" s="27"/>
      <c r="U101" s="20"/>
      <c r="V101" s="34">
        <f t="shared" ca="1" si="4"/>
        <v>63</v>
      </c>
      <c r="W101" s="18" t="str">
        <f t="shared" ca="1" si="5"/>
        <v>50-75</v>
      </c>
      <c r="X101" s="18"/>
    </row>
    <row r="102" spans="1:24" ht="15" customHeight="1" x14ac:dyDescent="0.25">
      <c r="A102" s="4" t="s">
        <v>99</v>
      </c>
      <c r="B102" s="1" t="s">
        <v>227</v>
      </c>
      <c r="C102" s="1" t="s">
        <v>184</v>
      </c>
      <c r="D102" s="1" t="s">
        <v>164</v>
      </c>
      <c r="E102" s="1">
        <v>25.914999999999999</v>
      </c>
      <c r="F102" s="1" t="s">
        <v>259</v>
      </c>
      <c r="G102" s="1">
        <v>2599226.3218906019</v>
      </c>
      <c r="H102" s="1">
        <v>1970</v>
      </c>
      <c r="I102" s="1" t="s">
        <v>265</v>
      </c>
      <c r="J102" s="1">
        <v>14.9</v>
      </c>
      <c r="K102" s="1">
        <v>4</v>
      </c>
      <c r="L102" s="19">
        <v>104.72219434065975</v>
      </c>
      <c r="M102" s="24">
        <v>21.523476615692353</v>
      </c>
      <c r="N102" s="19">
        <v>58.053688655373165</v>
      </c>
      <c r="O102" s="19">
        <v>74.637310338849034</v>
      </c>
      <c r="P102" s="19">
        <v>46.38790948134691</v>
      </c>
      <c r="Q102" s="1">
        <v>2020</v>
      </c>
      <c r="R102" s="19">
        <v>10054</v>
      </c>
      <c r="S102" s="40">
        <f t="shared" si="3"/>
        <v>59.692969491856367</v>
      </c>
      <c r="T102" s="27"/>
      <c r="U102" s="20"/>
      <c r="V102" s="34">
        <f t="shared" ca="1" si="4"/>
        <v>56</v>
      </c>
      <c r="W102" s="18" t="str">
        <f t="shared" ca="1" si="5"/>
        <v>50-75</v>
      </c>
      <c r="X102" s="18"/>
    </row>
    <row r="103" spans="1:24" ht="15" customHeight="1" x14ac:dyDescent="0.25">
      <c r="A103" s="4" t="s">
        <v>100</v>
      </c>
      <c r="B103" s="1" t="s">
        <v>227</v>
      </c>
      <c r="C103" s="1" t="s">
        <v>184</v>
      </c>
      <c r="D103" s="1" t="s">
        <v>164</v>
      </c>
      <c r="E103" s="1">
        <v>28.16</v>
      </c>
      <c r="F103" s="1" t="s">
        <v>241</v>
      </c>
      <c r="G103" s="1">
        <v>2021880.7385062848</v>
      </c>
      <c r="H103" s="1">
        <v>1987</v>
      </c>
      <c r="I103" s="1" t="s">
        <v>281</v>
      </c>
      <c r="J103" s="1">
        <v>36</v>
      </c>
      <c r="K103" s="1">
        <v>2</v>
      </c>
      <c r="L103" s="19">
        <v>96.2223089765818</v>
      </c>
      <c r="M103" s="24">
        <v>19.90185232483196</v>
      </c>
      <c r="N103" s="19">
        <v>58.191135846331008</v>
      </c>
      <c r="O103" s="19">
        <v>47.178092729501088</v>
      </c>
      <c r="P103" s="19">
        <v>38.094678288046694</v>
      </c>
      <c r="Q103" s="1">
        <v>2017</v>
      </c>
      <c r="R103" s="19">
        <v>1597</v>
      </c>
      <c r="S103" s="40">
        <f t="shared" si="3"/>
        <v>47.82130228795959</v>
      </c>
      <c r="T103" s="27"/>
      <c r="U103" s="20"/>
      <c r="V103" s="34">
        <f t="shared" ca="1" si="4"/>
        <v>39</v>
      </c>
      <c r="W103" s="18" t="str">
        <f t="shared" ca="1" si="5"/>
        <v>25-50</v>
      </c>
      <c r="X103" s="18"/>
    </row>
    <row r="104" spans="1:24" ht="15" customHeight="1" x14ac:dyDescent="0.25">
      <c r="A104" s="4" t="s">
        <v>101</v>
      </c>
      <c r="B104" s="1" t="s">
        <v>227</v>
      </c>
      <c r="C104" s="1" t="s">
        <v>184</v>
      </c>
      <c r="D104" s="1" t="s">
        <v>163</v>
      </c>
      <c r="E104" s="1">
        <v>30.861999999999998</v>
      </c>
      <c r="F104" s="1" t="s">
        <v>262</v>
      </c>
      <c r="G104" s="1">
        <v>5723179.3428403977</v>
      </c>
      <c r="H104" s="1">
        <v>1967</v>
      </c>
      <c r="I104" s="1" t="s">
        <v>260</v>
      </c>
      <c r="J104" s="1">
        <v>50</v>
      </c>
      <c r="K104" s="1">
        <v>4</v>
      </c>
      <c r="L104" s="19">
        <v>247.34841173520394</v>
      </c>
      <c r="M104" s="24">
        <v>19.760502176453436</v>
      </c>
      <c r="N104" s="19">
        <v>58.670681125832537</v>
      </c>
      <c r="O104" s="19">
        <v>54.036001951136747</v>
      </c>
      <c r="P104" s="19">
        <v>28.399175810143642</v>
      </c>
      <c r="Q104" s="1">
        <v>2017</v>
      </c>
      <c r="R104" s="19">
        <v>4396</v>
      </c>
      <c r="S104" s="40">
        <f t="shared" si="3"/>
        <v>47.03528629570431</v>
      </c>
      <c r="T104" s="27"/>
      <c r="U104" s="20"/>
      <c r="V104" s="34">
        <f t="shared" ca="1" si="4"/>
        <v>59</v>
      </c>
      <c r="W104" s="18" t="str">
        <f t="shared" ca="1" si="5"/>
        <v>50-75</v>
      </c>
      <c r="X104" s="18"/>
    </row>
    <row r="105" spans="1:24" ht="15" customHeight="1" x14ac:dyDescent="0.25">
      <c r="A105" s="4" t="s">
        <v>102</v>
      </c>
      <c r="B105" s="1" t="s">
        <v>227</v>
      </c>
      <c r="C105" s="1" t="s">
        <v>184</v>
      </c>
      <c r="D105" s="1" t="s">
        <v>164</v>
      </c>
      <c r="E105" s="1">
        <v>30.777000000000001</v>
      </c>
      <c r="F105" s="1" t="s">
        <v>241</v>
      </c>
      <c r="G105" s="1">
        <v>4596580.9557253448</v>
      </c>
      <c r="H105" s="1">
        <v>1964</v>
      </c>
      <c r="I105" s="1" t="s">
        <v>260</v>
      </c>
      <c r="J105" s="1">
        <v>50</v>
      </c>
      <c r="K105" s="1">
        <v>4</v>
      </c>
      <c r="L105" s="19">
        <v>345.27821804677313</v>
      </c>
      <c r="M105" s="24">
        <v>12.378788860368632</v>
      </c>
      <c r="N105" s="19">
        <v>58.429957535709669</v>
      </c>
      <c r="O105" s="19">
        <v>66.071782758430402</v>
      </c>
      <c r="P105" s="19">
        <v>53.724623450521797</v>
      </c>
      <c r="Q105" s="1">
        <v>2019</v>
      </c>
      <c r="R105" s="19">
        <v>14344</v>
      </c>
      <c r="S105" s="40">
        <f t="shared" si="3"/>
        <v>59.408787914887284</v>
      </c>
      <c r="T105" s="27"/>
      <c r="U105" s="20"/>
      <c r="V105" s="34">
        <f t="shared" ca="1" si="4"/>
        <v>62</v>
      </c>
      <c r="W105" s="18" t="str">
        <f t="shared" ca="1" si="5"/>
        <v>50-75</v>
      </c>
      <c r="X105" s="18"/>
    </row>
    <row r="106" spans="1:24" ht="15" customHeight="1" x14ac:dyDescent="0.25">
      <c r="A106" s="4" t="s">
        <v>103</v>
      </c>
      <c r="B106" s="1" t="s">
        <v>227</v>
      </c>
      <c r="C106" s="1" t="s">
        <v>184</v>
      </c>
      <c r="D106" s="1" t="s">
        <v>164</v>
      </c>
      <c r="E106" s="1">
        <v>36.369</v>
      </c>
      <c r="F106" s="1" t="s">
        <v>259</v>
      </c>
      <c r="G106" s="1">
        <v>2591377.3607840589</v>
      </c>
      <c r="H106" s="1">
        <v>1963</v>
      </c>
      <c r="I106" s="1" t="s">
        <v>265</v>
      </c>
      <c r="J106" s="1">
        <v>26.5</v>
      </c>
      <c r="K106" s="1">
        <v>4</v>
      </c>
      <c r="L106" s="19">
        <v>150.39613643009861</v>
      </c>
      <c r="M106" s="24">
        <v>15.701691776712272</v>
      </c>
      <c r="N106" s="19">
        <v>65.955968784229213</v>
      </c>
      <c r="O106" s="19">
        <v>51.468084190137269</v>
      </c>
      <c r="P106" s="19">
        <v>48.531148061738726</v>
      </c>
      <c r="Q106" s="1">
        <v>2017</v>
      </c>
      <c r="R106" s="19">
        <v>14898</v>
      </c>
      <c r="S106" s="40">
        <f t="shared" si="3"/>
        <v>55.318400345368396</v>
      </c>
      <c r="T106" s="27"/>
      <c r="U106" s="20"/>
      <c r="V106" s="34">
        <f t="shared" ca="1" si="4"/>
        <v>63</v>
      </c>
      <c r="W106" s="18" t="str">
        <f t="shared" ca="1" si="5"/>
        <v>50-75</v>
      </c>
      <c r="X106" s="18"/>
    </row>
    <row r="107" spans="1:24" ht="15" customHeight="1" x14ac:dyDescent="0.25">
      <c r="A107" s="4" t="s">
        <v>104</v>
      </c>
      <c r="B107" s="1" t="s">
        <v>227</v>
      </c>
      <c r="C107" s="1" t="s">
        <v>186</v>
      </c>
      <c r="D107" s="1" t="s">
        <v>165</v>
      </c>
      <c r="E107" s="1">
        <v>44.627000000000002</v>
      </c>
      <c r="F107" s="1" t="s">
        <v>264</v>
      </c>
      <c r="G107" s="1">
        <v>1668359.3284237494</v>
      </c>
      <c r="H107" s="1">
        <v>1963</v>
      </c>
      <c r="I107" s="1" t="s">
        <v>271</v>
      </c>
      <c r="J107" s="1">
        <v>17.7</v>
      </c>
      <c r="K107" s="1">
        <v>3</v>
      </c>
      <c r="L107" s="19">
        <v>85.928175838939012</v>
      </c>
      <c r="M107" s="24">
        <v>18.21715030615734</v>
      </c>
      <c r="N107" s="19">
        <v>43.84919933596197</v>
      </c>
      <c r="O107" s="19">
        <v>54.912907440454461</v>
      </c>
      <c r="P107" s="19">
        <v>54.491290652139114</v>
      </c>
      <c r="Q107" s="1">
        <v>2017</v>
      </c>
      <c r="R107" s="19">
        <v>16025</v>
      </c>
      <c r="S107" s="40">
        <f t="shared" si="3"/>
        <v>51.08446580951852</v>
      </c>
      <c r="T107" s="27"/>
      <c r="U107" s="20"/>
      <c r="V107" s="34">
        <f t="shared" ca="1" si="4"/>
        <v>63</v>
      </c>
      <c r="W107" s="18" t="str">
        <f t="shared" ca="1" si="5"/>
        <v>50-75</v>
      </c>
      <c r="X107" s="18"/>
    </row>
    <row r="108" spans="1:24" ht="15" customHeight="1" x14ac:dyDescent="0.25">
      <c r="A108" s="4" t="s">
        <v>105</v>
      </c>
      <c r="B108" s="1" t="s">
        <v>227</v>
      </c>
      <c r="C108" s="1" t="s">
        <v>209</v>
      </c>
      <c r="D108" s="1" t="s">
        <v>165</v>
      </c>
      <c r="E108" s="1">
        <v>6.56</v>
      </c>
      <c r="F108" s="1" t="s">
        <v>276</v>
      </c>
      <c r="G108" s="1">
        <v>1944867.7580073024</v>
      </c>
      <c r="H108" s="1">
        <v>1967</v>
      </c>
      <c r="I108" s="1" t="s">
        <v>260</v>
      </c>
      <c r="J108" s="1">
        <v>20.399999999999999</v>
      </c>
      <c r="K108" s="1">
        <v>3</v>
      </c>
      <c r="L108" s="19">
        <v>92.81165686301145</v>
      </c>
      <c r="M108" s="24">
        <v>20.796301953491401</v>
      </c>
      <c r="N108" s="19">
        <v>53.641874069221934</v>
      </c>
      <c r="O108" s="19">
        <v>59.610919144067857</v>
      </c>
      <c r="P108" s="19">
        <v>32.981885501510121</v>
      </c>
      <c r="Q108" s="1">
        <v>2020</v>
      </c>
      <c r="R108" s="19">
        <v>11028</v>
      </c>
      <c r="S108" s="40">
        <f t="shared" si="3"/>
        <v>48.744892904933302</v>
      </c>
      <c r="T108" s="27"/>
      <c r="U108" s="20"/>
      <c r="V108" s="34">
        <f t="shared" ca="1" si="4"/>
        <v>59</v>
      </c>
      <c r="W108" s="18" t="str">
        <f t="shared" ca="1" si="5"/>
        <v>50-75</v>
      </c>
      <c r="X108" s="18"/>
    </row>
    <row r="109" spans="1:24" ht="15" customHeight="1" x14ac:dyDescent="0.25">
      <c r="A109" s="4" t="s">
        <v>106</v>
      </c>
      <c r="B109" s="1" t="s">
        <v>227</v>
      </c>
      <c r="C109" s="1" t="s">
        <v>175</v>
      </c>
      <c r="D109" s="1" t="s">
        <v>163</v>
      </c>
      <c r="E109" s="1">
        <v>35.222000000000001</v>
      </c>
      <c r="F109" s="1" t="s">
        <v>259</v>
      </c>
      <c r="G109" s="1">
        <v>2786765.6526607131</v>
      </c>
      <c r="H109" s="1">
        <v>1999</v>
      </c>
      <c r="I109" s="1" t="s">
        <v>260</v>
      </c>
      <c r="J109" s="1">
        <v>42</v>
      </c>
      <c r="K109" s="1">
        <v>2</v>
      </c>
      <c r="L109" s="19">
        <v>163.05761235488831</v>
      </c>
      <c r="M109" s="24">
        <v>16.158608558523966</v>
      </c>
      <c r="N109" s="19">
        <v>47.280697412473636</v>
      </c>
      <c r="O109" s="19">
        <v>56.053800108197294</v>
      </c>
      <c r="P109" s="19">
        <v>49.151941465048054</v>
      </c>
      <c r="Q109" s="1">
        <v>2020</v>
      </c>
      <c r="R109" s="19">
        <v>2216</v>
      </c>
      <c r="S109" s="40">
        <f t="shared" si="3"/>
        <v>50.828812995239666</v>
      </c>
      <c r="T109" s="27"/>
      <c r="U109" s="20"/>
      <c r="V109" s="34">
        <f t="shared" ca="1" si="4"/>
        <v>27</v>
      </c>
      <c r="W109" s="18" t="str">
        <f t="shared" ca="1" si="5"/>
        <v>25-50</v>
      </c>
      <c r="X109" s="18"/>
    </row>
    <row r="110" spans="1:24" ht="15" customHeight="1" x14ac:dyDescent="0.25">
      <c r="A110" s="4" t="s">
        <v>107</v>
      </c>
      <c r="B110" s="1" t="s">
        <v>227</v>
      </c>
      <c r="C110" s="1" t="s">
        <v>175</v>
      </c>
      <c r="D110" s="1" t="s">
        <v>164</v>
      </c>
      <c r="E110" s="1">
        <v>35.213999999999999</v>
      </c>
      <c r="F110" s="1" t="s">
        <v>259</v>
      </c>
      <c r="G110" s="1">
        <v>2037573.4330703274</v>
      </c>
      <c r="H110" s="1">
        <v>1967</v>
      </c>
      <c r="I110" s="1" t="s">
        <v>282</v>
      </c>
      <c r="J110" s="1">
        <v>24.4</v>
      </c>
      <c r="K110" s="1">
        <v>5</v>
      </c>
      <c r="L110" s="19">
        <v>86.57066180998396</v>
      </c>
      <c r="M110" s="24">
        <v>21.735209529619993</v>
      </c>
      <c r="N110" s="19">
        <v>36.031478133957094</v>
      </c>
      <c r="O110" s="19">
        <v>54.504676374728973</v>
      </c>
      <c r="P110" s="19">
        <v>34.055523374093667</v>
      </c>
      <c r="Q110" s="1">
        <v>2018</v>
      </c>
      <c r="R110" s="19">
        <v>5478</v>
      </c>
      <c r="S110" s="40">
        <f t="shared" si="3"/>
        <v>41.530559294259909</v>
      </c>
      <c r="T110" s="27"/>
      <c r="U110" s="20"/>
      <c r="V110" s="34">
        <f t="shared" ca="1" si="4"/>
        <v>59</v>
      </c>
      <c r="W110" s="18" t="str">
        <f t="shared" ca="1" si="5"/>
        <v>50-75</v>
      </c>
      <c r="X110" s="18"/>
    </row>
    <row r="111" spans="1:24" ht="15" customHeight="1" x14ac:dyDescent="0.25">
      <c r="A111" s="4" t="s">
        <v>108</v>
      </c>
      <c r="B111" s="1" t="s">
        <v>227</v>
      </c>
      <c r="C111" s="1" t="s">
        <v>178</v>
      </c>
      <c r="D111" s="1" t="s">
        <v>164</v>
      </c>
      <c r="E111" s="1">
        <v>8.375</v>
      </c>
      <c r="F111" s="1" t="s">
        <v>264</v>
      </c>
      <c r="G111" s="1">
        <v>2068714.3953047367</v>
      </c>
      <c r="H111" s="1">
        <v>1974</v>
      </c>
      <c r="I111" s="1" t="s">
        <v>265</v>
      </c>
      <c r="J111" s="1">
        <v>20.399999999999999</v>
      </c>
      <c r="K111" s="1">
        <v>3</v>
      </c>
      <c r="L111" s="19">
        <v>77.287478132218681</v>
      </c>
      <c r="M111" s="24">
        <v>26.245320748298596</v>
      </c>
      <c r="N111" s="19">
        <v>55.744745195145256</v>
      </c>
      <c r="O111" s="19">
        <v>66.758449913609525</v>
      </c>
      <c r="P111" s="19">
        <v>42.673853213392341</v>
      </c>
      <c r="Q111" s="1">
        <v>2020</v>
      </c>
      <c r="R111" s="19">
        <v>8837</v>
      </c>
      <c r="S111" s="40">
        <f t="shared" si="3"/>
        <v>55.059016107382377</v>
      </c>
      <c r="T111" s="27"/>
      <c r="U111" s="20"/>
      <c r="V111" s="34">
        <f t="shared" ca="1" si="4"/>
        <v>52</v>
      </c>
      <c r="W111" s="18" t="str">
        <f t="shared" ca="1" si="5"/>
        <v>50-75</v>
      </c>
      <c r="X111" s="18"/>
    </row>
    <row r="112" spans="1:24" ht="15" customHeight="1" x14ac:dyDescent="0.25">
      <c r="A112" s="4" t="s">
        <v>109</v>
      </c>
      <c r="B112" s="1" t="s">
        <v>227</v>
      </c>
      <c r="C112" s="1" t="s">
        <v>168</v>
      </c>
      <c r="D112" s="1" t="s">
        <v>164</v>
      </c>
      <c r="E112" s="1">
        <v>8.1780000000000008</v>
      </c>
      <c r="F112" s="1" t="s">
        <v>241</v>
      </c>
      <c r="G112" s="1">
        <v>1005353.0798099947</v>
      </c>
      <c r="H112" s="1">
        <v>1973</v>
      </c>
      <c r="I112" s="1" t="s">
        <v>265</v>
      </c>
      <c r="J112" s="1">
        <v>31.1</v>
      </c>
      <c r="K112" s="1">
        <v>4</v>
      </c>
      <c r="L112" s="19">
        <v>95.168677173229653</v>
      </c>
      <c r="M112" s="24">
        <v>10.338443227015913</v>
      </c>
      <c r="N112" s="19">
        <v>61.044869329625485</v>
      </c>
      <c r="O112" s="19">
        <v>64.463687129205326</v>
      </c>
      <c r="P112" s="19">
        <v>47.564603440568725</v>
      </c>
      <c r="Q112" s="1">
        <v>2021</v>
      </c>
      <c r="R112" s="19">
        <v>10253</v>
      </c>
      <c r="S112" s="40">
        <f t="shared" si="3"/>
        <v>57.691053299799847</v>
      </c>
      <c r="T112" s="27"/>
      <c r="U112" s="20"/>
      <c r="V112" s="34">
        <f t="shared" ca="1" si="4"/>
        <v>53</v>
      </c>
      <c r="W112" s="18" t="str">
        <f t="shared" ca="1" si="5"/>
        <v>50-75</v>
      </c>
      <c r="X112" s="18"/>
    </row>
    <row r="113" spans="1:24" ht="15" customHeight="1" x14ac:dyDescent="0.25">
      <c r="A113" s="4" t="s">
        <v>110</v>
      </c>
      <c r="B113" s="1" t="s">
        <v>227</v>
      </c>
      <c r="C113" s="1" t="s">
        <v>192</v>
      </c>
      <c r="D113" s="1" t="s">
        <v>164</v>
      </c>
      <c r="E113" s="1">
        <v>0.51600000000000001</v>
      </c>
      <c r="F113" s="1" t="s">
        <v>241</v>
      </c>
      <c r="G113" s="1">
        <v>2003475.8194741809</v>
      </c>
      <c r="H113" s="1">
        <v>1972</v>
      </c>
      <c r="I113" s="1" t="s">
        <v>265</v>
      </c>
      <c r="J113" s="1">
        <v>26.8</v>
      </c>
      <c r="K113" s="1">
        <v>4</v>
      </c>
      <c r="L113" s="19">
        <v>132.49310976537933</v>
      </c>
      <c r="M113" s="24">
        <v>14.94336906420857</v>
      </c>
      <c r="N113" s="19">
        <v>56.637515707994794</v>
      </c>
      <c r="O113" s="19">
        <v>58.839598764756673</v>
      </c>
      <c r="P113" s="19">
        <v>45.522322430975542</v>
      </c>
      <c r="Q113" s="1">
        <v>2021</v>
      </c>
      <c r="R113" s="19">
        <v>11175</v>
      </c>
      <c r="S113" s="40">
        <f t="shared" si="3"/>
        <v>53.666478967909001</v>
      </c>
      <c r="T113" s="27"/>
      <c r="U113" s="20"/>
      <c r="V113" s="34">
        <f t="shared" ca="1" si="4"/>
        <v>54</v>
      </c>
      <c r="W113" s="18" t="str">
        <f t="shared" ca="1" si="5"/>
        <v>50-75</v>
      </c>
      <c r="X113" s="18"/>
    </row>
    <row r="114" spans="1:24" ht="15" customHeight="1" x14ac:dyDescent="0.25">
      <c r="A114" s="4" t="s">
        <v>111</v>
      </c>
      <c r="B114" s="1" t="s">
        <v>227</v>
      </c>
      <c r="C114" s="1" t="s">
        <v>168</v>
      </c>
      <c r="D114" s="1" t="s">
        <v>164</v>
      </c>
      <c r="E114" s="1">
        <v>11.438000000000001</v>
      </c>
      <c r="F114" s="1" t="s">
        <v>241</v>
      </c>
      <c r="G114" s="1">
        <v>1020111.6026329775</v>
      </c>
      <c r="H114" s="1">
        <v>1972</v>
      </c>
      <c r="I114" s="1" t="s">
        <v>265</v>
      </c>
      <c r="J114" s="1">
        <v>22.9</v>
      </c>
      <c r="K114" s="1">
        <v>4</v>
      </c>
      <c r="L114" s="19">
        <v>88.66604393034288</v>
      </c>
      <c r="M114" s="24">
        <v>11.465288638468321</v>
      </c>
      <c r="N114" s="19">
        <v>59.488483118371917</v>
      </c>
      <c r="O114" s="19">
        <v>57.051066937902021</v>
      </c>
      <c r="P114" s="19">
        <v>52.016611220235646</v>
      </c>
      <c r="Q114" s="1">
        <v>2019</v>
      </c>
      <c r="R114" s="19">
        <v>7956</v>
      </c>
      <c r="S114" s="40">
        <f t="shared" si="3"/>
        <v>56.185387092169861</v>
      </c>
      <c r="T114" s="27"/>
      <c r="U114" s="20"/>
      <c r="V114" s="34">
        <f t="shared" ca="1" si="4"/>
        <v>54</v>
      </c>
      <c r="W114" s="18" t="str">
        <f t="shared" ca="1" si="5"/>
        <v>50-75</v>
      </c>
      <c r="X114" s="18"/>
    </row>
    <row r="115" spans="1:24" ht="15" customHeight="1" x14ac:dyDescent="0.25">
      <c r="A115" s="4" t="s">
        <v>112</v>
      </c>
      <c r="B115" s="1" t="s">
        <v>227</v>
      </c>
      <c r="C115" s="1" t="s">
        <v>218</v>
      </c>
      <c r="D115" s="1" t="s">
        <v>164</v>
      </c>
      <c r="E115" s="1">
        <v>31.437000000000001</v>
      </c>
      <c r="F115" s="1" t="s">
        <v>259</v>
      </c>
      <c r="G115" s="1">
        <v>1711680.7888643804</v>
      </c>
      <c r="H115" s="1">
        <v>1966</v>
      </c>
      <c r="I115" s="1" t="s">
        <v>261</v>
      </c>
      <c r="J115" s="1">
        <v>21.3</v>
      </c>
      <c r="K115" s="1">
        <v>4</v>
      </c>
      <c r="L115" s="19">
        <v>69.955614139949802</v>
      </c>
      <c r="M115" s="24">
        <v>21.156338694963015</v>
      </c>
      <c r="N115" s="19">
        <v>61.938363109161955</v>
      </c>
      <c r="O115" s="19">
        <v>52.229205426767834</v>
      </c>
      <c r="P115" s="19">
        <v>29.345728637245006</v>
      </c>
      <c r="Q115" s="1">
        <v>2020</v>
      </c>
      <c r="R115" s="19">
        <v>5284</v>
      </c>
      <c r="S115" s="40">
        <f t="shared" si="3"/>
        <v>47.837765724391602</v>
      </c>
      <c r="T115" s="27"/>
      <c r="U115" s="20"/>
      <c r="V115" s="34">
        <f t="shared" ca="1" si="4"/>
        <v>60</v>
      </c>
      <c r="W115" s="18" t="str">
        <f t="shared" ca="1" si="5"/>
        <v>50-75</v>
      </c>
      <c r="X115" s="18"/>
    </row>
    <row r="116" spans="1:24" ht="15" customHeight="1" x14ac:dyDescent="0.25">
      <c r="A116" s="4" t="s">
        <v>113</v>
      </c>
      <c r="B116" s="1" t="s">
        <v>227</v>
      </c>
      <c r="C116" s="1" t="s">
        <v>203</v>
      </c>
      <c r="D116" s="1" t="s">
        <v>164</v>
      </c>
      <c r="E116" s="1">
        <v>7.0000000000000001E-3</v>
      </c>
      <c r="F116" s="1" t="s">
        <v>241</v>
      </c>
      <c r="G116" s="1">
        <v>2234266.1597424457</v>
      </c>
      <c r="H116" s="1">
        <v>1964</v>
      </c>
      <c r="I116" s="1" t="s">
        <v>282</v>
      </c>
      <c r="J116" s="1">
        <v>28.3</v>
      </c>
      <c r="K116" s="1">
        <v>3</v>
      </c>
      <c r="L116" s="19">
        <v>78.551197808485583</v>
      </c>
      <c r="M116" s="24">
        <v>24.528015215146855</v>
      </c>
      <c r="N116" s="19">
        <v>52.83957815656094</v>
      </c>
      <c r="O116" s="19">
        <v>68.058725445303097</v>
      </c>
      <c r="P116" s="19">
        <v>21.124420848614843</v>
      </c>
      <c r="Q116" s="1">
        <v>2020</v>
      </c>
      <c r="R116" s="19">
        <v>19596</v>
      </c>
      <c r="S116" s="40">
        <f t="shared" si="3"/>
        <v>47.340908150159628</v>
      </c>
      <c r="T116" s="27"/>
      <c r="U116" s="20"/>
      <c r="V116" s="34">
        <f t="shared" ca="1" si="4"/>
        <v>62</v>
      </c>
      <c r="W116" s="18" t="str">
        <f t="shared" ca="1" si="5"/>
        <v>50-75</v>
      </c>
      <c r="X116" s="18"/>
    </row>
    <row r="117" spans="1:24" ht="15" customHeight="1" x14ac:dyDescent="0.25">
      <c r="A117" s="4" t="s">
        <v>114</v>
      </c>
      <c r="B117" s="1" t="s">
        <v>227</v>
      </c>
      <c r="C117" s="1" t="s">
        <v>201</v>
      </c>
      <c r="D117" s="1" t="s">
        <v>164</v>
      </c>
      <c r="E117" s="1">
        <v>0.39600000000000002</v>
      </c>
      <c r="F117" s="1" t="s">
        <v>259</v>
      </c>
      <c r="G117" s="1">
        <v>2791470.5334343133</v>
      </c>
      <c r="H117" s="1">
        <v>1965</v>
      </c>
      <c r="I117" s="1" t="s">
        <v>261</v>
      </c>
      <c r="J117" s="1">
        <v>25.9</v>
      </c>
      <c r="K117" s="1">
        <v>4</v>
      </c>
      <c r="L117" s="19">
        <v>132.26339976475992</v>
      </c>
      <c r="M117" s="24">
        <v>18.82560429919797</v>
      </c>
      <c r="N117" s="19">
        <v>67.472937158420265</v>
      </c>
      <c r="O117" s="19">
        <v>56.566970738534764</v>
      </c>
      <c r="P117" s="19">
        <v>57.467968036140377</v>
      </c>
      <c r="Q117" s="1">
        <v>2018</v>
      </c>
      <c r="R117" s="19">
        <v>11744</v>
      </c>
      <c r="S117" s="40">
        <f t="shared" si="3"/>
        <v>60.502625311031807</v>
      </c>
      <c r="T117" s="27"/>
      <c r="U117" s="20"/>
      <c r="V117" s="34">
        <f t="shared" ca="1" si="4"/>
        <v>61</v>
      </c>
      <c r="W117" s="18" t="str">
        <f t="shared" ca="1" si="5"/>
        <v>50-75</v>
      </c>
      <c r="X117" s="18"/>
    </row>
    <row r="118" spans="1:24" ht="15" customHeight="1" x14ac:dyDescent="0.25">
      <c r="A118" s="4" t="s">
        <v>115</v>
      </c>
      <c r="B118" s="1" t="s">
        <v>227</v>
      </c>
      <c r="C118" s="1" t="s">
        <v>210</v>
      </c>
      <c r="D118" s="1" t="s">
        <v>163</v>
      </c>
      <c r="E118" s="1">
        <v>46.021000000000001</v>
      </c>
      <c r="F118" s="1" t="s">
        <v>250</v>
      </c>
      <c r="G118" s="1">
        <v>2300394.335302236</v>
      </c>
      <c r="H118" s="1">
        <v>1969</v>
      </c>
      <c r="I118" s="1" t="s">
        <v>265</v>
      </c>
      <c r="J118" s="1">
        <v>23.8</v>
      </c>
      <c r="K118" s="1">
        <v>4</v>
      </c>
      <c r="L118" s="19">
        <v>153.86967906744391</v>
      </c>
      <c r="M118" s="24">
        <v>14.025714432401188</v>
      </c>
      <c r="N118" s="19">
        <v>67.274996332515826</v>
      </c>
      <c r="O118" s="19">
        <v>66.401186998253607</v>
      </c>
      <c r="P118" s="19">
        <v>58.472540743857486</v>
      </c>
      <c r="Q118" s="1">
        <v>2020</v>
      </c>
      <c r="R118" s="19">
        <v>7612</v>
      </c>
      <c r="S118" s="40">
        <f t="shared" si="3"/>
        <v>64.049574691542304</v>
      </c>
      <c r="T118" s="27"/>
      <c r="U118" s="20"/>
      <c r="V118" s="34">
        <f t="shared" ca="1" si="4"/>
        <v>57</v>
      </c>
      <c r="W118" s="18" t="str">
        <f t="shared" ca="1" si="5"/>
        <v>50-75</v>
      </c>
      <c r="X118" s="18"/>
    </row>
    <row r="119" spans="1:24" ht="15" customHeight="1" x14ac:dyDescent="0.25">
      <c r="A119" s="4" t="s">
        <v>116</v>
      </c>
      <c r="B119" s="1" t="s">
        <v>227</v>
      </c>
      <c r="C119" s="1" t="s">
        <v>210</v>
      </c>
      <c r="D119" s="1" t="s">
        <v>164</v>
      </c>
      <c r="E119" s="1">
        <v>45.679000000000002</v>
      </c>
      <c r="F119" s="1" t="s">
        <v>250</v>
      </c>
      <c r="G119" s="1">
        <v>3869659.8327983357</v>
      </c>
      <c r="H119" s="1">
        <v>1967</v>
      </c>
      <c r="I119" s="1" t="s">
        <v>265</v>
      </c>
      <c r="J119" s="1">
        <v>23.8</v>
      </c>
      <c r="K119" s="1">
        <v>4</v>
      </c>
      <c r="L119" s="19">
        <v>164.19339339910488</v>
      </c>
      <c r="M119" s="24">
        <v>22.199894385312369</v>
      </c>
      <c r="N119" s="19">
        <v>52.559264987649641</v>
      </c>
      <c r="O119" s="19">
        <v>58.434255499506222</v>
      </c>
      <c r="P119" s="19">
        <v>50.056188109358125</v>
      </c>
      <c r="Q119" s="1">
        <v>2020</v>
      </c>
      <c r="R119" s="19">
        <v>1813</v>
      </c>
      <c r="S119" s="40">
        <f t="shared" si="3"/>
        <v>53.683236198837996</v>
      </c>
      <c r="T119" s="27"/>
      <c r="U119" s="20"/>
      <c r="V119" s="34">
        <f t="shared" ca="1" si="4"/>
        <v>59</v>
      </c>
      <c r="W119" s="18" t="str">
        <f t="shared" ca="1" si="5"/>
        <v>50-75</v>
      </c>
      <c r="X119" s="18"/>
    </row>
    <row r="120" spans="1:24" ht="15" customHeight="1" x14ac:dyDescent="0.25">
      <c r="A120" s="4" t="s">
        <v>117</v>
      </c>
      <c r="B120" s="1" t="s">
        <v>227</v>
      </c>
      <c r="C120" s="1" t="s">
        <v>206</v>
      </c>
      <c r="D120" s="1" t="s">
        <v>164</v>
      </c>
      <c r="E120" s="1">
        <v>5.9459999999999997</v>
      </c>
      <c r="F120" s="1" t="s">
        <v>259</v>
      </c>
      <c r="G120" s="1">
        <v>3034728.5741426731</v>
      </c>
      <c r="H120" s="1">
        <v>1980</v>
      </c>
      <c r="I120" s="1" t="s">
        <v>272</v>
      </c>
      <c r="J120" s="1">
        <v>38.1</v>
      </c>
      <c r="K120" s="1">
        <v>2</v>
      </c>
      <c r="L120" s="19">
        <v>151.7744272258517</v>
      </c>
      <c r="M120" s="24">
        <v>17.444481211538807</v>
      </c>
      <c r="N120" s="19">
        <v>47.764544571104111</v>
      </c>
      <c r="O120" s="19">
        <v>86.521682683912843</v>
      </c>
      <c r="P120" s="19">
        <v>48.095469526982797</v>
      </c>
      <c r="Q120" s="1">
        <v>2019</v>
      </c>
      <c r="R120" s="19">
        <v>14165</v>
      </c>
      <c r="S120" s="40">
        <f t="shared" si="3"/>
        <v>60.79389892733326</v>
      </c>
      <c r="T120" s="27"/>
      <c r="U120" s="20"/>
      <c r="V120" s="34">
        <f t="shared" ca="1" si="4"/>
        <v>46</v>
      </c>
      <c r="W120" s="18" t="str">
        <f t="shared" ca="1" si="5"/>
        <v>25-50</v>
      </c>
      <c r="X120" s="18"/>
    </row>
    <row r="121" spans="1:24" ht="15" customHeight="1" x14ac:dyDescent="0.25">
      <c r="A121" s="4" t="s">
        <v>118</v>
      </c>
      <c r="B121" s="1" t="s">
        <v>227</v>
      </c>
      <c r="C121" s="1" t="s">
        <v>183</v>
      </c>
      <c r="D121" s="1" t="s">
        <v>164</v>
      </c>
      <c r="E121" s="1">
        <v>16.033999999999999</v>
      </c>
      <c r="F121" s="1" t="s">
        <v>259</v>
      </c>
      <c r="G121" s="1">
        <v>1680628.4787026977</v>
      </c>
      <c r="H121" s="1">
        <v>1981</v>
      </c>
      <c r="I121" s="1" t="s">
        <v>283</v>
      </c>
      <c r="J121" s="1">
        <v>69.2</v>
      </c>
      <c r="K121" s="1">
        <v>1</v>
      </c>
      <c r="L121" s="19">
        <v>69.929493504831768</v>
      </c>
      <c r="M121" s="24">
        <v>23.723863411904897</v>
      </c>
      <c r="N121" s="19">
        <v>77.983188508931434</v>
      </c>
      <c r="O121" s="19">
        <v>54.37456576851865</v>
      </c>
      <c r="P121" s="19">
        <v>42.263914824023658</v>
      </c>
      <c r="Q121" s="1">
        <v>2019</v>
      </c>
      <c r="R121" s="19">
        <v>6899</v>
      </c>
      <c r="S121" s="40">
        <f t="shared" si="3"/>
        <v>58.207223033824583</v>
      </c>
      <c r="T121" s="27"/>
      <c r="U121" s="20"/>
      <c r="V121" s="34">
        <f t="shared" ca="1" si="4"/>
        <v>45</v>
      </c>
      <c r="W121" s="18" t="str">
        <f t="shared" ca="1" si="5"/>
        <v>25-50</v>
      </c>
      <c r="X121" s="18"/>
    </row>
    <row r="122" spans="1:24" ht="15" customHeight="1" x14ac:dyDescent="0.25">
      <c r="A122" s="4" t="s">
        <v>119</v>
      </c>
      <c r="B122" s="1" t="s">
        <v>227</v>
      </c>
      <c r="C122" s="1" t="s">
        <v>193</v>
      </c>
      <c r="D122" s="1" t="s">
        <v>165</v>
      </c>
      <c r="E122" s="1">
        <v>11.047000000000001</v>
      </c>
      <c r="F122" s="1" t="s">
        <v>262</v>
      </c>
      <c r="G122" s="1">
        <v>3459683.795471136</v>
      </c>
      <c r="H122" s="1">
        <v>1974</v>
      </c>
      <c r="I122" s="1" t="s">
        <v>260</v>
      </c>
      <c r="J122" s="1">
        <v>42.7</v>
      </c>
      <c r="K122" s="1">
        <v>4</v>
      </c>
      <c r="L122" s="19">
        <v>172.17182731833407</v>
      </c>
      <c r="M122" s="24">
        <v>17.666651847883738</v>
      </c>
      <c r="N122" s="19">
        <v>52.610992296840287</v>
      </c>
      <c r="O122" s="19">
        <v>46.547255489987663</v>
      </c>
      <c r="P122" s="19">
        <v>60.849298606820682</v>
      </c>
      <c r="Q122" s="1">
        <v>2020</v>
      </c>
      <c r="R122" s="19">
        <v>16322</v>
      </c>
      <c r="S122" s="40">
        <f t="shared" si="3"/>
        <v>53.335848797882875</v>
      </c>
      <c r="T122" s="27"/>
      <c r="U122" s="20"/>
      <c r="V122" s="34">
        <f t="shared" ca="1" si="4"/>
        <v>52</v>
      </c>
      <c r="W122" s="18" t="str">
        <f t="shared" ca="1" si="5"/>
        <v>50-75</v>
      </c>
      <c r="X122" s="18"/>
    </row>
    <row r="123" spans="1:24" ht="15" customHeight="1" x14ac:dyDescent="0.25">
      <c r="A123" s="4" t="s">
        <v>120</v>
      </c>
      <c r="B123" s="1" t="s">
        <v>227</v>
      </c>
      <c r="C123" s="1" t="s">
        <v>181</v>
      </c>
      <c r="D123" s="1" t="s">
        <v>164</v>
      </c>
      <c r="E123" s="1">
        <v>9.7390000000000008</v>
      </c>
      <c r="F123" s="1" t="s">
        <v>241</v>
      </c>
      <c r="G123" s="1">
        <v>3151763.9783669827</v>
      </c>
      <c r="H123" s="1">
        <v>1976</v>
      </c>
      <c r="I123" s="1" t="s">
        <v>260</v>
      </c>
      <c r="J123" s="1">
        <v>45.7</v>
      </c>
      <c r="K123" s="1">
        <v>2</v>
      </c>
      <c r="L123" s="19">
        <v>165.19893797884029</v>
      </c>
      <c r="M123" s="24">
        <v>17.429618105759122</v>
      </c>
      <c r="N123" s="19">
        <v>47.178363930099017</v>
      </c>
      <c r="O123" s="19">
        <v>61.17283079313092</v>
      </c>
      <c r="P123" s="19">
        <v>28.597112605427132</v>
      </c>
      <c r="Q123" s="1">
        <v>2020</v>
      </c>
      <c r="R123" s="19">
        <v>15440</v>
      </c>
      <c r="S123" s="40">
        <f t="shared" si="3"/>
        <v>45.649435776219029</v>
      </c>
      <c r="T123" s="27"/>
      <c r="U123" s="20"/>
      <c r="V123" s="34">
        <f t="shared" ca="1" si="4"/>
        <v>50</v>
      </c>
      <c r="W123" s="18" t="str">
        <f t="shared" ca="1" si="5"/>
        <v>25-50</v>
      </c>
      <c r="X123" s="18"/>
    </row>
    <row r="124" spans="1:24" ht="15" customHeight="1" x14ac:dyDescent="0.25">
      <c r="A124" s="4" t="s">
        <v>121</v>
      </c>
      <c r="B124" s="1" t="s">
        <v>227</v>
      </c>
      <c r="C124" s="1" t="s">
        <v>181</v>
      </c>
      <c r="D124" s="1" t="s">
        <v>164</v>
      </c>
      <c r="E124" s="1">
        <v>6.4809999999999999</v>
      </c>
      <c r="F124" s="1" t="s">
        <v>259</v>
      </c>
      <c r="G124" s="1">
        <v>804280.99036396318</v>
      </c>
      <c r="H124" s="1">
        <v>1970</v>
      </c>
      <c r="I124" s="1" t="s">
        <v>277</v>
      </c>
      <c r="J124" s="1">
        <v>16.2</v>
      </c>
      <c r="K124" s="1">
        <v>1</v>
      </c>
      <c r="L124" s="19">
        <v>16.656749135764137</v>
      </c>
      <c r="M124" s="24">
        <v>47.26919660217942</v>
      </c>
      <c r="N124" s="19">
        <v>63.233390259153026</v>
      </c>
      <c r="O124" s="19">
        <v>49.994208332279321</v>
      </c>
      <c r="P124" s="19">
        <v>52.698252281021389</v>
      </c>
      <c r="Q124" s="1">
        <v>2020</v>
      </c>
      <c r="R124" s="19">
        <v>16159</v>
      </c>
      <c r="S124" s="40">
        <f t="shared" si="3"/>
        <v>55.308616957484581</v>
      </c>
      <c r="T124" s="27"/>
      <c r="U124" s="20"/>
      <c r="V124" s="34">
        <f t="shared" ca="1" si="4"/>
        <v>56</v>
      </c>
      <c r="W124" s="18" t="str">
        <f t="shared" ca="1" si="5"/>
        <v>50-75</v>
      </c>
      <c r="X124" s="18"/>
    </row>
    <row r="125" spans="1:24" ht="15" customHeight="1" x14ac:dyDescent="0.25">
      <c r="A125" s="4" t="s">
        <v>122</v>
      </c>
      <c r="B125" s="1" t="s">
        <v>227</v>
      </c>
      <c r="C125" s="1" t="s">
        <v>169</v>
      </c>
      <c r="D125" s="1" t="s">
        <v>163</v>
      </c>
      <c r="E125" s="1">
        <v>0.502</v>
      </c>
      <c r="F125" s="1" t="s">
        <v>264</v>
      </c>
      <c r="G125" s="1">
        <v>2623710.7628537701</v>
      </c>
      <c r="H125" s="1">
        <v>1980</v>
      </c>
      <c r="I125" s="1" t="s">
        <v>238</v>
      </c>
      <c r="J125" s="1">
        <v>20.100000000000001</v>
      </c>
      <c r="K125" s="1">
        <v>3</v>
      </c>
      <c r="L125" s="19">
        <v>97.444075268974046</v>
      </c>
      <c r="M125" s="24">
        <v>23.036384075911275</v>
      </c>
      <c r="N125" s="19">
        <v>46.422494958434484</v>
      </c>
      <c r="O125" s="19">
        <v>79.291351655709548</v>
      </c>
      <c r="P125" s="19">
        <v>50.284007469392407</v>
      </c>
      <c r="Q125" s="1">
        <v>2020</v>
      </c>
      <c r="R125" s="19">
        <v>1694</v>
      </c>
      <c r="S125" s="40">
        <f t="shared" si="3"/>
        <v>58.665951361178806</v>
      </c>
      <c r="T125" s="27"/>
      <c r="U125" s="20"/>
      <c r="V125" s="34">
        <f t="shared" ca="1" si="4"/>
        <v>46</v>
      </c>
      <c r="W125" s="18" t="str">
        <f t="shared" ca="1" si="5"/>
        <v>25-50</v>
      </c>
      <c r="X125" s="18"/>
    </row>
    <row r="126" spans="1:24" ht="15" customHeight="1" x14ac:dyDescent="0.25">
      <c r="A126" s="4" t="s">
        <v>123</v>
      </c>
      <c r="B126" s="1" t="s">
        <v>227</v>
      </c>
      <c r="C126" s="1" t="s">
        <v>169</v>
      </c>
      <c r="D126" s="1" t="s">
        <v>164</v>
      </c>
      <c r="E126" s="1">
        <v>0.54300000000000004</v>
      </c>
      <c r="F126" s="1" t="s">
        <v>264</v>
      </c>
      <c r="G126" s="1">
        <v>1064374.8304832086</v>
      </c>
      <c r="H126" s="1">
        <v>1974</v>
      </c>
      <c r="I126" s="1" t="s">
        <v>238</v>
      </c>
      <c r="J126" s="1">
        <v>20.100000000000001</v>
      </c>
      <c r="K126" s="1">
        <v>3</v>
      </c>
      <c r="L126" s="19">
        <v>68.78312906834293</v>
      </c>
      <c r="M126" s="24">
        <v>14.14762613686902</v>
      </c>
      <c r="N126" s="19">
        <v>49.719495063577341</v>
      </c>
      <c r="O126" s="19">
        <v>45.76192725760761</v>
      </c>
      <c r="P126" s="19">
        <v>47.655046212847907</v>
      </c>
      <c r="Q126" s="1">
        <v>2019</v>
      </c>
      <c r="R126" s="19">
        <v>18821</v>
      </c>
      <c r="S126" s="40">
        <f t="shared" si="3"/>
        <v>47.712156178010957</v>
      </c>
      <c r="T126" s="27"/>
      <c r="U126" s="20"/>
      <c r="V126" s="34">
        <f t="shared" ca="1" si="4"/>
        <v>52</v>
      </c>
      <c r="W126" s="18" t="str">
        <f t="shared" ca="1" si="5"/>
        <v>50-75</v>
      </c>
      <c r="X126" s="18"/>
    </row>
    <row r="127" spans="1:24" ht="15" customHeight="1" x14ac:dyDescent="0.25">
      <c r="A127" s="4" t="s">
        <v>124</v>
      </c>
      <c r="B127" s="1" t="s">
        <v>227</v>
      </c>
      <c r="C127" s="1" t="s">
        <v>169</v>
      </c>
      <c r="D127" s="1" t="s">
        <v>163</v>
      </c>
      <c r="E127" s="1">
        <v>8.0990000000000002</v>
      </c>
      <c r="F127" s="1" t="s">
        <v>241</v>
      </c>
      <c r="G127" s="1">
        <v>1878445.8482955084</v>
      </c>
      <c r="H127" s="1">
        <v>1974</v>
      </c>
      <c r="I127" s="1" t="s">
        <v>261</v>
      </c>
      <c r="J127" s="1">
        <v>24.4</v>
      </c>
      <c r="K127" s="1">
        <v>2</v>
      </c>
      <c r="L127" s="19">
        <v>82.363074131256255</v>
      </c>
      <c r="M127" s="24">
        <v>22.146632144493172</v>
      </c>
      <c r="N127" s="19">
        <v>53.10518131591185</v>
      </c>
      <c r="O127" s="19">
        <v>40.658386638938765</v>
      </c>
      <c r="P127" s="19">
        <v>38.326748612849997</v>
      </c>
      <c r="Q127" s="1">
        <v>2020</v>
      </c>
      <c r="R127" s="19">
        <v>10940</v>
      </c>
      <c r="S127" s="40">
        <f t="shared" si="3"/>
        <v>44.030105522566863</v>
      </c>
      <c r="T127" s="27"/>
      <c r="U127" s="20"/>
      <c r="V127" s="34">
        <f t="shared" ca="1" si="4"/>
        <v>52</v>
      </c>
      <c r="W127" s="18" t="str">
        <f t="shared" ca="1" si="5"/>
        <v>50-75</v>
      </c>
      <c r="X127" s="18"/>
    </row>
    <row r="128" spans="1:24" ht="15" customHeight="1" x14ac:dyDescent="0.25">
      <c r="A128" s="4" t="s">
        <v>125</v>
      </c>
      <c r="B128" s="1" t="s">
        <v>227</v>
      </c>
      <c r="C128" s="1" t="s">
        <v>169</v>
      </c>
      <c r="D128" s="1" t="s">
        <v>164</v>
      </c>
      <c r="E128" s="1">
        <v>8.15</v>
      </c>
      <c r="F128" s="1" t="s">
        <v>241</v>
      </c>
      <c r="G128" s="1">
        <v>1742573.163209778</v>
      </c>
      <c r="H128" s="1">
        <v>1970</v>
      </c>
      <c r="I128" s="1" t="s">
        <v>261</v>
      </c>
      <c r="J128" s="1">
        <v>24.4</v>
      </c>
      <c r="K128" s="1">
        <v>2</v>
      </c>
      <c r="L128" s="19">
        <v>92.99385107321902</v>
      </c>
      <c r="M128" s="24">
        <v>17.982691004337095</v>
      </c>
      <c r="N128" s="19">
        <v>51.127397807877344</v>
      </c>
      <c r="O128" s="19">
        <v>55.066231521953242</v>
      </c>
      <c r="P128" s="19">
        <v>60.886522104002388</v>
      </c>
      <c r="Q128" s="1">
        <v>2017</v>
      </c>
      <c r="R128" s="19">
        <v>17381</v>
      </c>
      <c r="S128" s="40">
        <f t="shared" si="3"/>
        <v>55.693383811277663</v>
      </c>
      <c r="T128" s="27"/>
      <c r="U128" s="20"/>
      <c r="V128" s="34">
        <f t="shared" ca="1" si="4"/>
        <v>56</v>
      </c>
      <c r="W128" s="18" t="str">
        <f t="shared" ca="1" si="5"/>
        <v>50-75</v>
      </c>
      <c r="X128" s="18"/>
    </row>
    <row r="129" spans="1:24" ht="15" customHeight="1" x14ac:dyDescent="0.25">
      <c r="A129" s="4" t="s">
        <v>126</v>
      </c>
      <c r="B129" s="1" t="s">
        <v>227</v>
      </c>
      <c r="C129" s="1" t="s">
        <v>169</v>
      </c>
      <c r="D129" s="1" t="s">
        <v>164</v>
      </c>
      <c r="E129" s="1">
        <v>8.15</v>
      </c>
      <c r="F129" s="1" t="s">
        <v>259</v>
      </c>
      <c r="G129" s="1">
        <v>730429.3623597211</v>
      </c>
      <c r="H129" s="1">
        <v>1975</v>
      </c>
      <c r="I129" s="1" t="s">
        <v>261</v>
      </c>
      <c r="J129" s="1">
        <v>24.4</v>
      </c>
      <c r="K129" s="1">
        <v>2</v>
      </c>
      <c r="L129" s="19">
        <v>75.883355362228684</v>
      </c>
      <c r="M129" s="24">
        <v>9.2732472465501665</v>
      </c>
      <c r="N129" s="19">
        <v>52.296550848783106</v>
      </c>
      <c r="O129" s="19">
        <v>37.346061198935843</v>
      </c>
      <c r="P129" s="19">
        <v>45.196887872639792</v>
      </c>
      <c r="Q129" s="1">
        <v>2020</v>
      </c>
      <c r="R129" s="19">
        <v>4176</v>
      </c>
      <c r="S129" s="40">
        <f t="shared" si="3"/>
        <v>44.946499973452916</v>
      </c>
      <c r="T129" s="27"/>
      <c r="U129" s="20"/>
      <c r="V129" s="34">
        <f t="shared" ca="1" si="4"/>
        <v>51</v>
      </c>
      <c r="W129" s="18" t="str">
        <f t="shared" ca="1" si="5"/>
        <v>50-75</v>
      </c>
      <c r="X129" s="18"/>
    </row>
    <row r="130" spans="1:24" ht="15" customHeight="1" x14ac:dyDescent="0.25">
      <c r="A130" s="4" t="s">
        <v>127</v>
      </c>
      <c r="B130" s="1" t="s">
        <v>227</v>
      </c>
      <c r="C130" s="1" t="s">
        <v>169</v>
      </c>
      <c r="D130" s="1" t="s">
        <v>164</v>
      </c>
      <c r="E130" s="1">
        <v>15.618</v>
      </c>
      <c r="F130" s="1" t="s">
        <v>276</v>
      </c>
      <c r="G130" s="1">
        <v>996318.42633856216</v>
      </c>
      <c r="H130" s="1">
        <v>1976</v>
      </c>
      <c r="I130" s="1" t="s">
        <v>260</v>
      </c>
      <c r="J130" s="1">
        <v>29.3</v>
      </c>
      <c r="K130" s="1">
        <v>4</v>
      </c>
      <c r="L130" s="19">
        <v>153.56543240699366</v>
      </c>
      <c r="M130" s="24">
        <v>6.0919012107330328</v>
      </c>
      <c r="N130" s="19">
        <v>28.045364297018796</v>
      </c>
      <c r="O130" s="19">
        <v>55.770342387455301</v>
      </c>
      <c r="P130" s="19">
        <v>44.084863431737269</v>
      </c>
      <c r="Q130" s="1">
        <v>2019</v>
      </c>
      <c r="R130" s="19">
        <v>1271</v>
      </c>
      <c r="S130" s="40">
        <f t="shared" si="3"/>
        <v>42.633523372070449</v>
      </c>
      <c r="T130" s="27"/>
      <c r="U130" s="20"/>
      <c r="V130" s="34">
        <f t="shared" ca="1" si="4"/>
        <v>50</v>
      </c>
      <c r="W130" s="18" t="str">
        <f t="shared" ca="1" si="5"/>
        <v>25-50</v>
      </c>
      <c r="X130" s="18"/>
    </row>
    <row r="131" spans="1:24" ht="15" customHeight="1" x14ac:dyDescent="0.25">
      <c r="A131" s="4" t="s">
        <v>128</v>
      </c>
      <c r="B131" s="1" t="s">
        <v>227</v>
      </c>
      <c r="C131" s="1" t="s">
        <v>182</v>
      </c>
      <c r="D131" s="1" t="s">
        <v>164</v>
      </c>
      <c r="E131" s="1">
        <v>21.048999999999999</v>
      </c>
      <c r="F131" s="1" t="s">
        <v>259</v>
      </c>
      <c r="G131" s="1">
        <v>2090032.3514614634</v>
      </c>
      <c r="H131" s="1">
        <v>1975</v>
      </c>
      <c r="I131" s="1" t="s">
        <v>272</v>
      </c>
      <c r="J131" s="1">
        <v>36.6</v>
      </c>
      <c r="K131" s="1">
        <v>2</v>
      </c>
      <c r="L131" s="19">
        <v>121.11897844761252</v>
      </c>
      <c r="M131" s="24">
        <v>14.549529272428696</v>
      </c>
      <c r="N131" s="19">
        <v>37.388735455564387</v>
      </c>
      <c r="O131" s="19">
        <v>68.232489825546196</v>
      </c>
      <c r="P131" s="19">
        <v>45.932980524288659</v>
      </c>
      <c r="Q131" s="1">
        <v>2017</v>
      </c>
      <c r="R131" s="19">
        <v>14494</v>
      </c>
      <c r="S131" s="40">
        <f t="shared" si="3"/>
        <v>50.518068601799747</v>
      </c>
      <c r="T131" s="27"/>
      <c r="U131" s="20"/>
      <c r="V131" s="34">
        <f t="shared" ca="1" si="4"/>
        <v>51</v>
      </c>
      <c r="W131" s="18" t="str">
        <f t="shared" ca="1" si="5"/>
        <v>50-75</v>
      </c>
      <c r="X131" s="18"/>
    </row>
    <row r="132" spans="1:24" ht="15" customHeight="1" x14ac:dyDescent="0.25">
      <c r="A132" s="4" t="s">
        <v>129</v>
      </c>
      <c r="B132" s="1" t="s">
        <v>227</v>
      </c>
      <c r="C132" s="1" t="s">
        <v>174</v>
      </c>
      <c r="D132" s="1" t="s">
        <v>165</v>
      </c>
      <c r="E132" s="1">
        <v>3.8849999999999998</v>
      </c>
      <c r="F132" s="1" t="s">
        <v>241</v>
      </c>
      <c r="G132" s="1">
        <v>4314113.5241086353</v>
      </c>
      <c r="H132" s="1">
        <v>1979</v>
      </c>
      <c r="I132" s="1" t="s">
        <v>261</v>
      </c>
      <c r="J132" s="1">
        <v>33.5</v>
      </c>
      <c r="K132" s="1">
        <v>5</v>
      </c>
      <c r="L132" s="19">
        <v>325.00314981136853</v>
      </c>
      <c r="M132" s="24">
        <v>12.432277092191601</v>
      </c>
      <c r="N132" s="19">
        <v>58.954906548169596</v>
      </c>
      <c r="O132" s="19">
        <v>65.994869230207243</v>
      </c>
      <c r="P132" s="19">
        <v>28.827808066337695</v>
      </c>
      <c r="Q132" s="1">
        <v>2021</v>
      </c>
      <c r="R132" s="19">
        <v>11872</v>
      </c>
      <c r="S132" s="40">
        <f t="shared" ref="S132:S163" si="6">(N132+O132+P132)/3</f>
        <v>51.25919461490485</v>
      </c>
      <c r="T132" s="27"/>
      <c r="U132" s="20"/>
      <c r="V132" s="34">
        <f t="shared" ref="V132:V163" ca="1" si="7">YEAR(TODAY())-H132</f>
        <v>47</v>
      </c>
      <c r="W132" s="18" t="str">
        <f t="shared" ref="W132:W163" ca="1" si="8">IF(V132&lt;=25,"0-25",IF(V132&lt;=50,"25-50",IF(V132&lt;=75,"50-75",IF(V132&lt;=100,"75-100"))))</f>
        <v>25-50</v>
      </c>
      <c r="X132" s="18"/>
    </row>
    <row r="133" spans="1:24" ht="15" customHeight="1" x14ac:dyDescent="0.25">
      <c r="A133" s="4" t="s">
        <v>130</v>
      </c>
      <c r="B133" s="1" t="s">
        <v>227</v>
      </c>
      <c r="C133" s="1" t="s">
        <v>180</v>
      </c>
      <c r="D133" s="1" t="s">
        <v>163</v>
      </c>
      <c r="E133" s="1">
        <v>8.4160000000000004</v>
      </c>
      <c r="F133" s="1" t="s">
        <v>264</v>
      </c>
      <c r="G133" s="1">
        <v>1151393.0930905975</v>
      </c>
      <c r="H133" s="1">
        <v>2001</v>
      </c>
      <c r="I133" s="1" t="s">
        <v>267</v>
      </c>
      <c r="J133" s="1">
        <v>38</v>
      </c>
      <c r="K133" s="1">
        <v>1</v>
      </c>
      <c r="L133" s="19">
        <v>47.197157902857199</v>
      </c>
      <c r="M133" s="24">
        <v>23.899152425699331</v>
      </c>
      <c r="N133" s="19">
        <v>59.908899460708568</v>
      </c>
      <c r="O133" s="19">
        <v>57.110940351210154</v>
      </c>
      <c r="P133" s="19">
        <v>57.174437959268616</v>
      </c>
      <c r="Q133" s="1">
        <v>2021</v>
      </c>
      <c r="R133" s="19">
        <v>19446</v>
      </c>
      <c r="S133" s="40">
        <f t="shared" si="6"/>
        <v>58.064759257062441</v>
      </c>
      <c r="T133" s="27"/>
      <c r="U133" s="20"/>
      <c r="V133" s="34">
        <f t="shared" ca="1" si="7"/>
        <v>25</v>
      </c>
      <c r="W133" s="18" t="str">
        <f t="shared" ca="1" si="8"/>
        <v>0-25</v>
      </c>
      <c r="X133" s="18"/>
    </row>
    <row r="134" spans="1:24" ht="15" customHeight="1" x14ac:dyDescent="0.25">
      <c r="A134" s="4" t="s">
        <v>131</v>
      </c>
      <c r="B134" s="1" t="s">
        <v>227</v>
      </c>
      <c r="C134" s="1" t="s">
        <v>180</v>
      </c>
      <c r="D134" s="1" t="s">
        <v>163</v>
      </c>
      <c r="E134" s="1">
        <v>8.5069999999999997</v>
      </c>
      <c r="F134" s="1" t="s">
        <v>264</v>
      </c>
      <c r="G134" s="1">
        <v>1537443.0489197173</v>
      </c>
      <c r="H134" s="1">
        <v>2008</v>
      </c>
      <c r="I134" s="1" t="s">
        <v>267</v>
      </c>
      <c r="J134" s="1">
        <v>38</v>
      </c>
      <c r="K134" s="1">
        <v>1</v>
      </c>
      <c r="L134" s="19">
        <v>66.156546540002921</v>
      </c>
      <c r="M134" s="24">
        <v>19.941747237653008</v>
      </c>
      <c r="N134" s="19">
        <v>55.784829143276752</v>
      </c>
      <c r="O134" s="19">
        <v>52.610644329866737</v>
      </c>
      <c r="P134" s="19">
        <v>45.763996666217743</v>
      </c>
      <c r="Q134" s="1">
        <v>2021</v>
      </c>
      <c r="R134" s="19">
        <v>1968</v>
      </c>
      <c r="S134" s="40">
        <f t="shared" si="6"/>
        <v>51.386490046453737</v>
      </c>
      <c r="T134" s="27"/>
      <c r="U134" s="20"/>
      <c r="V134" s="34">
        <f t="shared" ca="1" si="7"/>
        <v>18</v>
      </c>
      <c r="W134" s="18" t="str">
        <f t="shared" ca="1" si="8"/>
        <v>0-25</v>
      </c>
      <c r="X134" s="18"/>
    </row>
    <row r="135" spans="1:24" ht="15" customHeight="1" x14ac:dyDescent="0.25">
      <c r="A135" s="4" t="s">
        <v>132</v>
      </c>
      <c r="B135" s="1" t="s">
        <v>227</v>
      </c>
      <c r="C135" s="1" t="s">
        <v>216</v>
      </c>
      <c r="D135" s="1" t="s">
        <v>164</v>
      </c>
      <c r="E135" s="1">
        <v>4.0060000000000002</v>
      </c>
      <c r="F135" s="1" t="s">
        <v>259</v>
      </c>
      <c r="G135" s="1">
        <v>2564327.967536808</v>
      </c>
      <c r="H135" s="1">
        <v>1985</v>
      </c>
      <c r="I135" s="1" t="s">
        <v>237</v>
      </c>
      <c r="J135" s="1">
        <v>26</v>
      </c>
      <c r="K135" s="1">
        <v>4</v>
      </c>
      <c r="L135" s="19">
        <v>121.30752770095845</v>
      </c>
      <c r="M135" s="24">
        <v>19.635153581039219</v>
      </c>
      <c r="N135" s="19">
        <v>44.094704910232707</v>
      </c>
      <c r="O135" s="19">
        <v>58.259109893614458</v>
      </c>
      <c r="P135" s="19">
        <v>38.032453173348785</v>
      </c>
      <c r="Q135" s="1">
        <v>2020</v>
      </c>
      <c r="R135" s="19">
        <v>7574</v>
      </c>
      <c r="S135" s="40">
        <f t="shared" si="6"/>
        <v>46.795422659065316</v>
      </c>
      <c r="T135" s="27"/>
      <c r="U135" s="20"/>
      <c r="V135" s="34">
        <f t="shared" ca="1" si="7"/>
        <v>41</v>
      </c>
      <c r="W135" s="18" t="str">
        <f t="shared" ca="1" si="8"/>
        <v>25-50</v>
      </c>
      <c r="X135" s="18"/>
    </row>
    <row r="136" spans="1:24" ht="15" customHeight="1" x14ac:dyDescent="0.25">
      <c r="A136" s="4" t="s">
        <v>133</v>
      </c>
      <c r="B136" s="1" t="s">
        <v>227</v>
      </c>
      <c r="C136" s="1" t="s">
        <v>182</v>
      </c>
      <c r="D136" s="1" t="s">
        <v>164</v>
      </c>
      <c r="E136" s="1">
        <v>9.7119999999999997</v>
      </c>
      <c r="F136" s="1" t="s">
        <v>259</v>
      </c>
      <c r="G136" s="1">
        <v>2295858.7870655721</v>
      </c>
      <c r="H136" s="1">
        <v>1979</v>
      </c>
      <c r="I136" s="1" t="s">
        <v>272</v>
      </c>
      <c r="J136" s="1">
        <v>36.6</v>
      </c>
      <c r="K136" s="1">
        <v>2</v>
      </c>
      <c r="L136" s="19">
        <v>145.73442396403672</v>
      </c>
      <c r="M136" s="24">
        <v>14.48372413234841</v>
      </c>
      <c r="N136" s="19">
        <v>52.519197135999988</v>
      </c>
      <c r="O136" s="19">
        <v>48.895974743466617</v>
      </c>
      <c r="P136" s="19">
        <v>43.877157543536448</v>
      </c>
      <c r="Q136" s="1">
        <v>2020</v>
      </c>
      <c r="R136" s="19">
        <v>9564</v>
      </c>
      <c r="S136" s="40">
        <f t="shared" si="6"/>
        <v>48.430776474334351</v>
      </c>
      <c r="T136" s="27"/>
      <c r="U136" s="20"/>
      <c r="V136" s="34">
        <f t="shared" ca="1" si="7"/>
        <v>47</v>
      </c>
      <c r="W136" s="18" t="str">
        <f t="shared" ca="1" si="8"/>
        <v>25-50</v>
      </c>
      <c r="X136" s="18"/>
    </row>
    <row r="137" spans="1:24" ht="15" customHeight="1" x14ac:dyDescent="0.25">
      <c r="A137" s="4" t="s">
        <v>134</v>
      </c>
      <c r="B137" s="1" t="s">
        <v>227</v>
      </c>
      <c r="C137" s="1" t="s">
        <v>193</v>
      </c>
      <c r="D137" s="1" t="s">
        <v>165</v>
      </c>
      <c r="E137" s="1">
        <v>12.766999999999999</v>
      </c>
      <c r="F137" s="1" t="s">
        <v>264</v>
      </c>
      <c r="G137" s="1">
        <v>2249805.7360626245</v>
      </c>
      <c r="H137" s="1">
        <v>1972</v>
      </c>
      <c r="I137" s="1" t="s">
        <v>238</v>
      </c>
      <c r="J137" s="1">
        <v>16.8</v>
      </c>
      <c r="K137" s="1">
        <v>3</v>
      </c>
      <c r="L137" s="19">
        <v>88.722707824442168</v>
      </c>
      <c r="M137" s="24">
        <v>21.565796002490373</v>
      </c>
      <c r="N137" s="19">
        <v>52.922928297561704</v>
      </c>
      <c r="O137" s="19">
        <v>55.49724918304328</v>
      </c>
      <c r="P137" s="19">
        <v>36.920592723843811</v>
      </c>
      <c r="Q137" s="1">
        <v>2018</v>
      </c>
      <c r="R137" s="19">
        <v>7258</v>
      </c>
      <c r="S137" s="40">
        <f t="shared" si="6"/>
        <v>48.446923401482934</v>
      </c>
      <c r="T137" s="27"/>
      <c r="U137" s="20"/>
      <c r="V137" s="34">
        <f t="shared" ca="1" si="7"/>
        <v>54</v>
      </c>
      <c r="W137" s="18" t="str">
        <f t="shared" ca="1" si="8"/>
        <v>50-75</v>
      </c>
      <c r="X137" s="18"/>
    </row>
    <row r="138" spans="1:24" ht="15" customHeight="1" x14ac:dyDescent="0.25">
      <c r="A138" s="4" t="s">
        <v>135</v>
      </c>
      <c r="B138" s="1" t="s">
        <v>227</v>
      </c>
      <c r="C138" s="1" t="s">
        <v>196</v>
      </c>
      <c r="D138" s="1" t="s">
        <v>165</v>
      </c>
      <c r="E138" s="1">
        <v>10.250999999999999</v>
      </c>
      <c r="F138" s="1" t="s">
        <v>264</v>
      </c>
      <c r="G138" s="1">
        <v>2084828.2354827106</v>
      </c>
      <c r="H138" s="1">
        <v>1987</v>
      </c>
      <c r="I138" s="1" t="s">
        <v>233</v>
      </c>
      <c r="J138" s="1">
        <v>24</v>
      </c>
      <c r="K138" s="1">
        <v>3</v>
      </c>
      <c r="L138" s="19">
        <v>91.214483601560957</v>
      </c>
      <c r="M138" s="24">
        <v>19.275005155844994</v>
      </c>
      <c r="N138" s="19">
        <v>46.216265773721624</v>
      </c>
      <c r="O138" s="19">
        <v>57.081575102702026</v>
      </c>
      <c r="P138" s="19">
        <v>54.104958223604257</v>
      </c>
      <c r="Q138" s="1">
        <v>2018</v>
      </c>
      <c r="R138" s="19">
        <v>8232</v>
      </c>
      <c r="S138" s="40">
        <f t="shared" si="6"/>
        <v>52.467599700009295</v>
      </c>
      <c r="T138" s="27"/>
      <c r="U138" s="20"/>
      <c r="V138" s="34">
        <f t="shared" ca="1" si="7"/>
        <v>39</v>
      </c>
      <c r="W138" s="18" t="str">
        <f t="shared" ca="1" si="8"/>
        <v>25-50</v>
      </c>
      <c r="X138" s="18"/>
    </row>
    <row r="139" spans="1:24" ht="15" customHeight="1" x14ac:dyDescent="0.25">
      <c r="A139" s="4" t="s">
        <v>136</v>
      </c>
      <c r="B139" s="1" t="s">
        <v>227</v>
      </c>
      <c r="C139" s="1" t="s">
        <v>170</v>
      </c>
      <c r="D139" s="1" t="s">
        <v>163</v>
      </c>
      <c r="E139" s="1">
        <v>2.4420000000000002</v>
      </c>
      <c r="F139" s="1" t="s">
        <v>264</v>
      </c>
      <c r="G139" s="1">
        <v>665708.67195737187</v>
      </c>
      <c r="H139" s="1">
        <v>1982</v>
      </c>
      <c r="I139" s="1" t="s">
        <v>274</v>
      </c>
      <c r="J139" s="1">
        <v>12.2</v>
      </c>
      <c r="K139" s="1">
        <v>3</v>
      </c>
      <c r="L139" s="19">
        <v>40.854695873393077</v>
      </c>
      <c r="M139" s="24">
        <v>13.764519230965348</v>
      </c>
      <c r="N139" s="19">
        <v>42.602579534187498</v>
      </c>
      <c r="O139" s="19">
        <v>61.204276777638071</v>
      </c>
      <c r="P139" s="19">
        <v>52.698114854669271</v>
      </c>
      <c r="Q139" s="1">
        <v>2019</v>
      </c>
      <c r="R139" s="19">
        <v>16122</v>
      </c>
      <c r="S139" s="40">
        <f t="shared" si="6"/>
        <v>52.168323722164949</v>
      </c>
      <c r="T139" s="27"/>
      <c r="U139" s="20"/>
      <c r="V139" s="34">
        <f t="shared" ca="1" si="7"/>
        <v>44</v>
      </c>
      <c r="W139" s="18" t="str">
        <f t="shared" ca="1" si="8"/>
        <v>25-50</v>
      </c>
      <c r="X139" s="18"/>
    </row>
    <row r="140" spans="1:24" ht="15" customHeight="1" x14ac:dyDescent="0.25">
      <c r="A140" s="4" t="s">
        <v>137</v>
      </c>
      <c r="B140" s="1" t="s">
        <v>227</v>
      </c>
      <c r="C140" s="1" t="s">
        <v>170</v>
      </c>
      <c r="D140" s="1" t="s">
        <v>164</v>
      </c>
      <c r="E140" s="1">
        <v>2.4409999999999998</v>
      </c>
      <c r="F140" s="1" t="s">
        <v>264</v>
      </c>
      <c r="G140" s="1">
        <v>854143.42919532454</v>
      </c>
      <c r="H140" s="1">
        <v>1976</v>
      </c>
      <c r="I140" s="1" t="s">
        <v>274</v>
      </c>
      <c r="J140" s="1">
        <v>12.2</v>
      </c>
      <c r="K140" s="1">
        <v>3</v>
      </c>
      <c r="L140" s="19">
        <v>46.428459885904118</v>
      </c>
      <c r="M140" s="24">
        <v>15.460707636742088</v>
      </c>
      <c r="N140" s="19">
        <v>42.449427820907033</v>
      </c>
      <c r="O140" s="19">
        <v>70.134903144189735</v>
      </c>
      <c r="P140" s="19">
        <v>37.486922800607402</v>
      </c>
      <c r="Q140" s="1">
        <v>2020</v>
      </c>
      <c r="R140" s="19">
        <v>14225</v>
      </c>
      <c r="S140" s="40">
        <f t="shared" si="6"/>
        <v>50.023751255234721</v>
      </c>
      <c r="T140" s="27"/>
      <c r="U140" s="20"/>
      <c r="V140" s="34">
        <f t="shared" ca="1" si="7"/>
        <v>50</v>
      </c>
      <c r="W140" s="18" t="str">
        <f t="shared" ca="1" si="8"/>
        <v>25-50</v>
      </c>
      <c r="X140" s="18"/>
    </row>
    <row r="141" spans="1:24" ht="15" customHeight="1" x14ac:dyDescent="0.25">
      <c r="A141" s="4" t="s">
        <v>138</v>
      </c>
      <c r="B141" s="1" t="s">
        <v>227</v>
      </c>
      <c r="C141" s="1" t="s">
        <v>181</v>
      </c>
      <c r="D141" s="1" t="s">
        <v>164</v>
      </c>
      <c r="E141" s="1">
        <v>29.555</v>
      </c>
      <c r="F141" s="1" t="s">
        <v>259</v>
      </c>
      <c r="G141" s="1">
        <v>1941204.0822331186</v>
      </c>
      <c r="H141" s="1">
        <v>1983</v>
      </c>
      <c r="I141" s="1" t="s">
        <v>281</v>
      </c>
      <c r="J141" s="1">
        <v>34</v>
      </c>
      <c r="K141" s="1">
        <v>2</v>
      </c>
      <c r="L141" s="19">
        <v>102.32134906655531</v>
      </c>
      <c r="M141" s="24">
        <v>16.43876633654671</v>
      </c>
      <c r="N141" s="19">
        <v>53.826992179365028</v>
      </c>
      <c r="O141" s="19">
        <v>40.507578617699345</v>
      </c>
      <c r="P141" s="19">
        <v>58.755891115841393</v>
      </c>
      <c r="Q141" s="1">
        <v>2017</v>
      </c>
      <c r="R141" s="19">
        <v>18606</v>
      </c>
      <c r="S141" s="40">
        <f t="shared" si="6"/>
        <v>51.030153970968591</v>
      </c>
      <c r="T141" s="27"/>
      <c r="U141" s="20"/>
      <c r="V141" s="34">
        <f t="shared" ca="1" si="7"/>
        <v>43</v>
      </c>
      <c r="W141" s="18" t="str">
        <f t="shared" ca="1" si="8"/>
        <v>25-50</v>
      </c>
      <c r="X141" s="18"/>
    </row>
    <row r="142" spans="1:24" ht="15" customHeight="1" x14ac:dyDescent="0.25">
      <c r="A142" s="4" t="s">
        <v>139</v>
      </c>
      <c r="B142" s="1" t="s">
        <v>227</v>
      </c>
      <c r="C142" s="1" t="s">
        <v>221</v>
      </c>
      <c r="D142" s="1" t="s">
        <v>165</v>
      </c>
      <c r="E142" s="1">
        <v>0</v>
      </c>
      <c r="F142" s="1" t="s">
        <v>259</v>
      </c>
      <c r="G142" s="1">
        <v>2125797.9171461682</v>
      </c>
      <c r="H142" s="1">
        <v>1983</v>
      </c>
      <c r="I142" s="1" t="s">
        <v>280</v>
      </c>
      <c r="J142" s="1">
        <v>38.1</v>
      </c>
      <c r="K142" s="1">
        <v>2</v>
      </c>
      <c r="L142" s="19">
        <v>135.97238342509812</v>
      </c>
      <c r="M142" s="24">
        <v>15.487202797942762</v>
      </c>
      <c r="N142" s="19">
        <v>52.148555639560179</v>
      </c>
      <c r="O142" s="19">
        <v>65.354300990215009</v>
      </c>
      <c r="P142" s="19">
        <v>44.736734428794882</v>
      </c>
      <c r="Q142" s="1">
        <v>2018</v>
      </c>
      <c r="R142" s="19">
        <v>14537</v>
      </c>
      <c r="S142" s="40">
        <f t="shared" si="6"/>
        <v>54.079863686190016</v>
      </c>
      <c r="T142" s="27"/>
      <c r="U142" s="20"/>
      <c r="V142" s="34">
        <f t="shared" ca="1" si="7"/>
        <v>43</v>
      </c>
      <c r="W142" s="18" t="str">
        <f t="shared" ca="1" si="8"/>
        <v>25-50</v>
      </c>
      <c r="X142" s="18"/>
    </row>
    <row r="143" spans="1:24" ht="15" customHeight="1" x14ac:dyDescent="0.25">
      <c r="A143" s="4" t="s">
        <v>140</v>
      </c>
      <c r="B143" s="1" t="s">
        <v>227</v>
      </c>
      <c r="C143" s="1" t="s">
        <v>181</v>
      </c>
      <c r="D143" s="1" t="s">
        <v>164</v>
      </c>
      <c r="E143" s="1">
        <v>24.347000000000001</v>
      </c>
      <c r="F143" s="1" t="s">
        <v>259</v>
      </c>
      <c r="G143" s="1">
        <v>1533217.8541241016</v>
      </c>
      <c r="H143" s="1">
        <v>1984</v>
      </c>
      <c r="I143" s="1" t="s">
        <v>260</v>
      </c>
      <c r="J143" s="1">
        <v>39</v>
      </c>
      <c r="K143" s="1">
        <v>2</v>
      </c>
      <c r="L143" s="19">
        <v>146.49245580149761</v>
      </c>
      <c r="M143" s="24">
        <v>9.4807645642663783</v>
      </c>
      <c r="N143" s="19">
        <v>46.506081767152999</v>
      </c>
      <c r="O143" s="19">
        <v>47.79836478168918</v>
      </c>
      <c r="P143" s="19">
        <v>61.536653412423547</v>
      </c>
      <c r="Q143" s="1">
        <v>2020</v>
      </c>
      <c r="R143" s="19">
        <v>2852</v>
      </c>
      <c r="S143" s="40">
        <f t="shared" si="6"/>
        <v>51.947033320421916</v>
      </c>
      <c r="T143" s="27"/>
      <c r="U143" s="20"/>
      <c r="V143" s="34">
        <f t="shared" ca="1" si="7"/>
        <v>42</v>
      </c>
      <c r="W143" s="18" t="str">
        <f t="shared" ca="1" si="8"/>
        <v>25-50</v>
      </c>
      <c r="X143" s="18"/>
    </row>
    <row r="144" spans="1:24" ht="15" customHeight="1" x14ac:dyDescent="0.25">
      <c r="A144" s="4" t="s">
        <v>141</v>
      </c>
      <c r="B144" s="1" t="s">
        <v>227</v>
      </c>
      <c r="C144" s="1" t="s">
        <v>181</v>
      </c>
      <c r="D144" s="1" t="s">
        <v>164</v>
      </c>
      <c r="E144" s="1">
        <v>7.8470000000000004</v>
      </c>
      <c r="F144" s="1" t="s">
        <v>278</v>
      </c>
      <c r="G144" s="1">
        <v>684418.78347329353</v>
      </c>
      <c r="H144" s="1">
        <v>1983</v>
      </c>
      <c r="I144" s="1" t="s">
        <v>279</v>
      </c>
      <c r="J144" s="1">
        <v>36.9</v>
      </c>
      <c r="K144" s="1">
        <v>4</v>
      </c>
      <c r="L144" s="19">
        <v>203.01524149268255</v>
      </c>
      <c r="M144" s="24">
        <v>3.2569623099441389</v>
      </c>
      <c r="N144" s="19">
        <v>54.368126029690956</v>
      </c>
      <c r="O144" s="19">
        <v>59.287061051593142</v>
      </c>
      <c r="P144" s="19">
        <v>35.436218876552928</v>
      </c>
      <c r="Q144" s="1">
        <v>2019</v>
      </c>
      <c r="R144" s="19">
        <v>9403</v>
      </c>
      <c r="S144" s="40">
        <f t="shared" si="6"/>
        <v>49.697135319279006</v>
      </c>
      <c r="T144" s="27"/>
      <c r="U144" s="20"/>
      <c r="V144" s="34">
        <f t="shared" ca="1" si="7"/>
        <v>43</v>
      </c>
      <c r="W144" s="18" t="str">
        <f t="shared" ca="1" si="8"/>
        <v>25-50</v>
      </c>
      <c r="X144" s="18"/>
    </row>
    <row r="145" spans="1:24" ht="15" customHeight="1" x14ac:dyDescent="0.25">
      <c r="A145" s="4" t="s">
        <v>142</v>
      </c>
      <c r="B145" s="1" t="s">
        <v>227</v>
      </c>
      <c r="C145" s="1" t="s">
        <v>194</v>
      </c>
      <c r="D145" s="1" t="s">
        <v>165</v>
      </c>
      <c r="E145" s="1">
        <v>0.75600000000000001</v>
      </c>
      <c r="F145" s="1" t="s">
        <v>262</v>
      </c>
      <c r="G145" s="1">
        <v>1276411.6875322682</v>
      </c>
      <c r="H145" s="1">
        <v>1980</v>
      </c>
      <c r="I145" s="1" t="s">
        <v>243</v>
      </c>
      <c r="J145" s="1">
        <v>38</v>
      </c>
      <c r="K145" s="1">
        <v>1</v>
      </c>
      <c r="L145" s="19">
        <v>55.524159611633614</v>
      </c>
      <c r="M145" s="24">
        <v>20.976969384107335</v>
      </c>
      <c r="N145" s="19">
        <v>51.442842777698957</v>
      </c>
      <c r="O145" s="19">
        <v>37.052979421846715</v>
      </c>
      <c r="P145" s="19">
        <v>62.894028665877542</v>
      </c>
      <c r="Q145" s="1">
        <v>2018</v>
      </c>
      <c r="R145" s="19">
        <v>12783</v>
      </c>
      <c r="S145" s="40">
        <f t="shared" si="6"/>
        <v>50.46328362180774</v>
      </c>
      <c r="T145" s="27"/>
      <c r="U145" s="20"/>
      <c r="V145" s="34">
        <f t="shared" ca="1" si="7"/>
        <v>46</v>
      </c>
      <c r="W145" s="18" t="str">
        <f t="shared" ca="1" si="8"/>
        <v>25-50</v>
      </c>
      <c r="X145" s="18"/>
    </row>
    <row r="146" spans="1:24" ht="15" customHeight="1" x14ac:dyDescent="0.25">
      <c r="A146" s="4" t="s">
        <v>143</v>
      </c>
      <c r="B146" s="1" t="s">
        <v>227</v>
      </c>
      <c r="C146" s="1" t="s">
        <v>190</v>
      </c>
      <c r="D146" s="1" t="s">
        <v>165</v>
      </c>
      <c r="E146" s="1">
        <v>28.114999999999998</v>
      </c>
      <c r="F146" s="1" t="s">
        <v>241</v>
      </c>
      <c r="G146" s="1">
        <v>750912.02564160922</v>
      </c>
      <c r="H146" s="1">
        <v>1983</v>
      </c>
      <c r="I146" s="1" t="s">
        <v>243</v>
      </c>
      <c r="J146" s="1">
        <v>42</v>
      </c>
      <c r="K146" s="1">
        <v>1</v>
      </c>
      <c r="L146" s="19">
        <v>57.071233302892608</v>
      </c>
      <c r="M146" s="24">
        <v>12.724015897714814</v>
      </c>
      <c r="N146" s="19">
        <v>40.414065387719191</v>
      </c>
      <c r="O146" s="19">
        <v>62.748808746383766</v>
      </c>
      <c r="P146" s="19">
        <v>54.104427575188957</v>
      </c>
      <c r="Q146" s="1">
        <v>2019</v>
      </c>
      <c r="R146" s="19">
        <v>3497</v>
      </c>
      <c r="S146" s="40">
        <f t="shared" si="6"/>
        <v>52.422433903097307</v>
      </c>
      <c r="T146" s="27"/>
      <c r="U146" s="20"/>
      <c r="V146" s="34">
        <f t="shared" ca="1" si="7"/>
        <v>43</v>
      </c>
      <c r="W146" s="18" t="str">
        <f t="shared" ca="1" si="8"/>
        <v>25-50</v>
      </c>
      <c r="X146" s="18"/>
    </row>
    <row r="147" spans="1:24" ht="15" customHeight="1" x14ac:dyDescent="0.25">
      <c r="A147" s="4" t="s">
        <v>144</v>
      </c>
      <c r="B147" s="1" t="s">
        <v>227</v>
      </c>
      <c r="C147" s="1" t="s">
        <v>215</v>
      </c>
      <c r="D147" s="1" t="s">
        <v>164</v>
      </c>
      <c r="E147" s="1">
        <v>5.452</v>
      </c>
      <c r="F147" s="1" t="s">
        <v>250</v>
      </c>
      <c r="G147" s="1">
        <v>5979219.406130271</v>
      </c>
      <c r="H147" s="1">
        <v>1983</v>
      </c>
      <c r="I147" s="1" t="s">
        <v>260</v>
      </c>
      <c r="J147" s="1">
        <v>32</v>
      </c>
      <c r="K147" s="1">
        <v>4</v>
      </c>
      <c r="L147" s="19">
        <v>192.93075616941067</v>
      </c>
      <c r="M147" s="24">
        <v>27.295654823689858</v>
      </c>
      <c r="N147" s="19">
        <v>59.92671189862935</v>
      </c>
      <c r="O147" s="19">
        <v>45.940289480967735</v>
      </c>
      <c r="P147" s="19">
        <v>36.539251845897482</v>
      </c>
      <c r="Q147" s="1">
        <v>2021</v>
      </c>
      <c r="R147" s="19">
        <v>2411</v>
      </c>
      <c r="S147" s="40">
        <f t="shared" si="6"/>
        <v>47.468751075164853</v>
      </c>
      <c r="T147" s="27"/>
      <c r="U147" s="20"/>
      <c r="V147" s="34">
        <f t="shared" ca="1" si="7"/>
        <v>43</v>
      </c>
      <c r="W147" s="18" t="str">
        <f t="shared" ca="1" si="8"/>
        <v>25-50</v>
      </c>
      <c r="X147" s="18"/>
    </row>
    <row r="148" spans="1:24" ht="15" customHeight="1" x14ac:dyDescent="0.25">
      <c r="A148" s="4" t="s">
        <v>145</v>
      </c>
      <c r="B148" s="1" t="s">
        <v>227</v>
      </c>
      <c r="C148" s="1" t="s">
        <v>183</v>
      </c>
      <c r="D148" s="1" t="s">
        <v>164</v>
      </c>
      <c r="E148" s="1">
        <v>24.538</v>
      </c>
      <c r="F148" s="1" t="s">
        <v>259</v>
      </c>
      <c r="G148" s="1">
        <v>2235316.0606715153</v>
      </c>
      <c r="H148" s="1">
        <v>2012</v>
      </c>
      <c r="I148" s="1" t="s">
        <v>260</v>
      </c>
      <c r="J148" s="1">
        <v>35</v>
      </c>
      <c r="K148" s="1">
        <v>3</v>
      </c>
      <c r="L148" s="19">
        <v>156.5370079672993</v>
      </c>
      <c r="M148" s="24">
        <v>13.993540513577038</v>
      </c>
      <c r="N148" s="19">
        <v>50.921278253834082</v>
      </c>
      <c r="O148" s="19">
        <v>67.088221492300249</v>
      </c>
      <c r="P148" s="19">
        <v>44.840647946978464</v>
      </c>
      <c r="Q148" s="1">
        <v>2018</v>
      </c>
      <c r="R148" s="19">
        <v>7945</v>
      </c>
      <c r="S148" s="40">
        <f t="shared" si="6"/>
        <v>54.283382564370932</v>
      </c>
      <c r="T148" s="27"/>
      <c r="U148" s="20"/>
      <c r="V148" s="34">
        <f t="shared" ca="1" si="7"/>
        <v>14</v>
      </c>
      <c r="W148" s="18" t="str">
        <f t="shared" ca="1" si="8"/>
        <v>0-25</v>
      </c>
      <c r="X148" s="18"/>
    </row>
    <row r="149" spans="1:24" ht="15" customHeight="1" x14ac:dyDescent="0.25">
      <c r="A149" s="4" t="s">
        <v>146</v>
      </c>
      <c r="B149" s="1" t="s">
        <v>227</v>
      </c>
      <c r="C149" s="1" t="s">
        <v>194</v>
      </c>
      <c r="D149" s="1" t="s">
        <v>165</v>
      </c>
      <c r="E149" s="1">
        <v>14.531000000000001</v>
      </c>
      <c r="F149" s="1" t="s">
        <v>262</v>
      </c>
      <c r="G149" s="1">
        <v>1302748.1563580616</v>
      </c>
      <c r="H149" s="1">
        <v>1989</v>
      </c>
      <c r="I149" s="1" t="s">
        <v>260</v>
      </c>
      <c r="J149" s="1">
        <v>22</v>
      </c>
      <c r="K149" s="1">
        <v>3</v>
      </c>
      <c r="L149" s="19">
        <v>67.47355490334688</v>
      </c>
      <c r="M149" s="24">
        <v>17.177980990045526</v>
      </c>
      <c r="N149" s="19">
        <v>65.55213942979951</v>
      </c>
      <c r="O149" s="19">
        <v>34.103250127482802</v>
      </c>
      <c r="P149" s="19">
        <v>31.255626716570745</v>
      </c>
      <c r="Q149" s="1">
        <v>2017</v>
      </c>
      <c r="R149" s="19">
        <v>6605</v>
      </c>
      <c r="S149" s="40">
        <f t="shared" si="6"/>
        <v>43.637005424617691</v>
      </c>
      <c r="T149" s="27"/>
      <c r="U149" s="20"/>
      <c r="V149" s="34">
        <f t="shared" ca="1" si="7"/>
        <v>37</v>
      </c>
      <c r="W149" s="18" t="str">
        <f t="shared" ca="1" si="8"/>
        <v>25-50</v>
      </c>
      <c r="X149" s="18"/>
    </row>
    <row r="150" spans="1:24" ht="15" customHeight="1" x14ac:dyDescent="0.25">
      <c r="A150" s="4" t="s">
        <v>147</v>
      </c>
      <c r="B150" s="1" t="s">
        <v>228</v>
      </c>
      <c r="C150" s="1" t="s">
        <v>175</v>
      </c>
      <c r="D150" s="1" t="s">
        <v>165</v>
      </c>
      <c r="E150" s="1">
        <v>25.161999999999999</v>
      </c>
      <c r="F150" s="1" t="s">
        <v>262</v>
      </c>
      <c r="G150" s="1">
        <v>346883.13007561601</v>
      </c>
      <c r="H150" s="1">
        <v>1990</v>
      </c>
      <c r="I150" s="1" t="s">
        <v>239</v>
      </c>
      <c r="J150" s="1">
        <v>11</v>
      </c>
      <c r="K150" s="1">
        <v>1</v>
      </c>
      <c r="L150" s="19">
        <v>18.084320830578481</v>
      </c>
      <c r="M150" s="24">
        <v>16.934555401403099</v>
      </c>
      <c r="N150" s="19">
        <v>36.373336878807407</v>
      </c>
      <c r="O150" s="19">
        <v>45.029771757071003</v>
      </c>
      <c r="P150" s="19">
        <v>59.169923334535589</v>
      </c>
      <c r="Q150" s="1">
        <v>2018</v>
      </c>
      <c r="R150" s="19">
        <v>14208</v>
      </c>
      <c r="S150" s="40">
        <f t="shared" si="6"/>
        <v>46.857677323471336</v>
      </c>
      <c r="T150" s="27"/>
      <c r="U150" s="20"/>
      <c r="V150" s="34">
        <f t="shared" ca="1" si="7"/>
        <v>36</v>
      </c>
      <c r="W150" s="18" t="str">
        <f t="shared" ca="1" si="8"/>
        <v>25-50</v>
      </c>
      <c r="X150" s="18"/>
    </row>
    <row r="151" spans="1:24" ht="15" customHeight="1" x14ac:dyDescent="0.25">
      <c r="A151" s="4" t="s">
        <v>148</v>
      </c>
      <c r="B151" s="1" t="s">
        <v>227</v>
      </c>
      <c r="C151" s="1" t="s">
        <v>184</v>
      </c>
      <c r="D151" s="1" t="s">
        <v>164</v>
      </c>
      <c r="E151" s="1">
        <v>22.274000000000001</v>
      </c>
      <c r="F151" s="1" t="s">
        <v>259</v>
      </c>
      <c r="G151" s="1">
        <v>4515794.7122687493</v>
      </c>
      <c r="H151" s="1">
        <v>2000</v>
      </c>
      <c r="I151" s="1" t="s">
        <v>260</v>
      </c>
      <c r="J151" s="1">
        <v>37</v>
      </c>
      <c r="K151" s="1">
        <v>3</v>
      </c>
      <c r="L151" s="19">
        <v>128.53720923021689</v>
      </c>
      <c r="M151" s="24">
        <v>29.71375722508645</v>
      </c>
      <c r="N151" s="19">
        <v>50.524770065299641</v>
      </c>
      <c r="O151" s="19">
        <v>45.724235330387096</v>
      </c>
      <c r="P151" s="19">
        <v>41.635674580659852</v>
      </c>
      <c r="Q151" s="1">
        <v>2020</v>
      </c>
      <c r="R151" s="19">
        <v>4166</v>
      </c>
      <c r="S151" s="40">
        <f t="shared" si="6"/>
        <v>45.961559992115532</v>
      </c>
      <c r="T151" s="27"/>
      <c r="U151" s="20"/>
      <c r="V151" s="34">
        <f t="shared" ca="1" si="7"/>
        <v>26</v>
      </c>
      <c r="W151" s="18" t="str">
        <f t="shared" ca="1" si="8"/>
        <v>25-50</v>
      </c>
      <c r="X151" s="18"/>
    </row>
    <row r="152" spans="1:24" ht="15" customHeight="1" x14ac:dyDescent="0.25">
      <c r="A152" s="4" t="s">
        <v>149</v>
      </c>
      <c r="B152" s="1" t="s">
        <v>228</v>
      </c>
      <c r="C152" s="1" t="s">
        <v>170</v>
      </c>
      <c r="D152" s="1" t="s">
        <v>163</v>
      </c>
      <c r="E152" s="1">
        <v>25.035</v>
      </c>
      <c r="F152" s="1" t="s">
        <v>241</v>
      </c>
      <c r="G152" s="1">
        <v>273414.03381405456</v>
      </c>
      <c r="H152" s="1">
        <v>1986</v>
      </c>
      <c r="I152" s="1" t="s">
        <v>239</v>
      </c>
      <c r="J152" s="1">
        <v>11</v>
      </c>
      <c r="K152" s="1">
        <v>1</v>
      </c>
      <c r="L152" s="19">
        <v>14.651796665419798</v>
      </c>
      <c r="M152" s="24">
        <v>18.217808373010655</v>
      </c>
      <c r="N152" s="19">
        <v>37.026977172601313</v>
      </c>
      <c r="O152" s="19">
        <v>80.943820762126165</v>
      </c>
      <c r="P152" s="19">
        <v>41.671458574564284</v>
      </c>
      <c r="Q152" s="1">
        <v>2019</v>
      </c>
      <c r="R152" s="19">
        <v>19061</v>
      </c>
      <c r="S152" s="40">
        <f t="shared" si="6"/>
        <v>53.214085503097259</v>
      </c>
      <c r="T152" s="27"/>
      <c r="U152" s="20"/>
      <c r="V152" s="34">
        <f t="shared" ca="1" si="7"/>
        <v>40</v>
      </c>
      <c r="W152" s="18" t="str">
        <f t="shared" ca="1" si="8"/>
        <v>25-50</v>
      </c>
      <c r="X152" s="18"/>
    </row>
    <row r="153" spans="1:24" ht="15" customHeight="1" x14ac:dyDescent="0.25">
      <c r="A153" s="4" t="s">
        <v>150</v>
      </c>
      <c r="B153" s="1" t="s">
        <v>227</v>
      </c>
      <c r="C153" s="1" t="s">
        <v>196</v>
      </c>
      <c r="D153" s="1" t="s">
        <v>165</v>
      </c>
      <c r="E153" s="1">
        <v>22.353999999999999</v>
      </c>
      <c r="F153" s="1" t="s">
        <v>269</v>
      </c>
      <c r="G153" s="1">
        <v>696801.82312620501</v>
      </c>
      <c r="H153" s="1">
        <v>1988</v>
      </c>
      <c r="I153" s="1" t="s">
        <v>251</v>
      </c>
      <c r="J153" s="1">
        <v>10</v>
      </c>
      <c r="K153" s="1">
        <v>3</v>
      </c>
      <c r="L153" s="19">
        <v>37.963268784994028</v>
      </c>
      <c r="M153" s="24">
        <v>16.723361577196396</v>
      </c>
      <c r="N153" s="19">
        <v>54.417808803631956</v>
      </c>
      <c r="O153" s="19">
        <v>59.999950882289653</v>
      </c>
      <c r="P153" s="19">
        <v>37.752330883618001</v>
      </c>
      <c r="Q153" s="1">
        <v>2018</v>
      </c>
      <c r="R153" s="19">
        <v>6271</v>
      </c>
      <c r="S153" s="40">
        <f t="shared" si="6"/>
        <v>50.72336352317987</v>
      </c>
      <c r="T153" s="27"/>
      <c r="U153" s="20"/>
      <c r="V153" s="34">
        <f t="shared" ca="1" si="7"/>
        <v>38</v>
      </c>
      <c r="W153" s="18" t="str">
        <f t="shared" ca="1" si="8"/>
        <v>25-50</v>
      </c>
      <c r="X153" s="18"/>
    </row>
    <row r="154" spans="1:24" ht="15" customHeight="1" x14ac:dyDescent="0.25">
      <c r="A154" s="4" t="s">
        <v>151</v>
      </c>
      <c r="B154" s="1" t="s">
        <v>227</v>
      </c>
      <c r="C154" s="1" t="s">
        <v>199</v>
      </c>
      <c r="D154" s="1" t="s">
        <v>165</v>
      </c>
      <c r="E154" s="1">
        <v>38.049999999999997</v>
      </c>
      <c r="F154" s="1" t="s">
        <v>241</v>
      </c>
      <c r="G154" s="1">
        <v>1244526.2144428163</v>
      </c>
      <c r="H154" s="1">
        <v>1990</v>
      </c>
      <c r="I154" s="1" t="s">
        <v>260</v>
      </c>
      <c r="J154" s="1">
        <v>22</v>
      </c>
      <c r="K154" s="1">
        <v>2</v>
      </c>
      <c r="L154" s="19">
        <v>45.03100450452353</v>
      </c>
      <c r="M154" s="24">
        <v>23.239337416491104</v>
      </c>
      <c r="N154" s="19">
        <v>57.257505405202558</v>
      </c>
      <c r="O154" s="19">
        <v>70.347441870665932</v>
      </c>
      <c r="P154" s="19">
        <v>50.019484634247547</v>
      </c>
      <c r="Q154" s="1">
        <v>2018</v>
      </c>
      <c r="R154" s="19">
        <v>15398</v>
      </c>
      <c r="S154" s="40">
        <f t="shared" si="6"/>
        <v>59.20814397003867</v>
      </c>
      <c r="T154" s="27"/>
      <c r="U154" s="20"/>
      <c r="V154" s="34">
        <f t="shared" ca="1" si="7"/>
        <v>36</v>
      </c>
      <c r="W154" s="18" t="str">
        <f t="shared" ca="1" si="8"/>
        <v>25-50</v>
      </c>
      <c r="X154" s="18"/>
    </row>
    <row r="155" spans="1:24" ht="15" customHeight="1" x14ac:dyDescent="0.25">
      <c r="A155" s="4" t="s">
        <v>152</v>
      </c>
      <c r="B155" s="1" t="s">
        <v>228</v>
      </c>
      <c r="C155" s="1" t="s">
        <v>186</v>
      </c>
      <c r="D155" s="1" t="s">
        <v>165</v>
      </c>
      <c r="E155" s="1">
        <v>7.8019999999999996</v>
      </c>
      <c r="F155" s="1" t="s">
        <v>266</v>
      </c>
      <c r="G155" s="1">
        <v>54040.500958624914</v>
      </c>
      <c r="H155" s="1">
        <v>1960</v>
      </c>
      <c r="I155" s="1" t="s">
        <v>246</v>
      </c>
      <c r="J155" s="1">
        <v>1.9</v>
      </c>
      <c r="K155" s="1">
        <v>1</v>
      </c>
      <c r="L155" s="19">
        <v>2.7560632072042948</v>
      </c>
      <c r="M155" s="24">
        <v>19.513183511337864</v>
      </c>
      <c r="N155" s="19">
        <v>51.560286936784436</v>
      </c>
      <c r="O155" s="19">
        <v>66.535717904807086</v>
      </c>
      <c r="P155" s="19">
        <v>46.26985252110471</v>
      </c>
      <c r="Q155" s="1">
        <v>2019</v>
      </c>
      <c r="R155" s="19">
        <v>16411</v>
      </c>
      <c r="S155" s="40">
        <f t="shared" si="6"/>
        <v>54.788619120898744</v>
      </c>
      <c r="T155" s="27"/>
      <c r="U155" s="20"/>
      <c r="V155" s="34">
        <f t="shared" ca="1" si="7"/>
        <v>66</v>
      </c>
      <c r="W155" s="18" t="str">
        <f t="shared" ca="1" si="8"/>
        <v>50-75</v>
      </c>
      <c r="X155" s="18"/>
    </row>
    <row r="156" spans="1:24" ht="15" customHeight="1" x14ac:dyDescent="0.25">
      <c r="A156" s="4" t="s">
        <v>153</v>
      </c>
      <c r="B156" s="1" t="s">
        <v>227</v>
      </c>
      <c r="C156" s="1" t="s">
        <v>210</v>
      </c>
      <c r="D156" s="1" t="s">
        <v>163</v>
      </c>
      <c r="E156" s="1">
        <v>28.364000000000001</v>
      </c>
      <c r="F156" s="1" t="s">
        <v>241</v>
      </c>
      <c r="G156" s="1">
        <v>8186037.0030753752</v>
      </c>
      <c r="H156" s="1">
        <v>2000</v>
      </c>
      <c r="I156" s="1" t="s">
        <v>260</v>
      </c>
      <c r="J156" s="1">
        <v>66</v>
      </c>
      <c r="K156" s="1">
        <v>3</v>
      </c>
      <c r="L156" s="19">
        <v>327.50961778367764</v>
      </c>
      <c r="M156" s="24">
        <v>24.314867479890527</v>
      </c>
      <c r="N156" s="19">
        <v>74.309874911050798</v>
      </c>
      <c r="O156" s="19">
        <v>65.171915906093972</v>
      </c>
      <c r="P156" s="19">
        <v>36.518504896024744</v>
      </c>
      <c r="Q156" s="1">
        <v>2018</v>
      </c>
      <c r="R156" s="19">
        <v>19594</v>
      </c>
      <c r="S156" s="40">
        <f t="shared" si="6"/>
        <v>58.666765237723176</v>
      </c>
      <c r="T156" s="27"/>
      <c r="U156" s="20"/>
      <c r="V156" s="34">
        <f t="shared" ca="1" si="7"/>
        <v>26</v>
      </c>
      <c r="W156" s="18" t="str">
        <f t="shared" ca="1" si="8"/>
        <v>25-50</v>
      </c>
      <c r="X156" s="18"/>
    </row>
    <row r="157" spans="1:24" ht="15" customHeight="1" x14ac:dyDescent="0.25">
      <c r="A157" s="4" t="s">
        <v>154</v>
      </c>
      <c r="B157" s="1" t="s">
        <v>227</v>
      </c>
      <c r="C157" s="1" t="s">
        <v>210</v>
      </c>
      <c r="D157" s="1" t="s">
        <v>164</v>
      </c>
      <c r="E157" s="1">
        <v>28.012</v>
      </c>
      <c r="F157" s="1" t="s">
        <v>241</v>
      </c>
      <c r="G157" s="1">
        <v>4924258.1896237042</v>
      </c>
      <c r="H157" s="1">
        <v>2003</v>
      </c>
      <c r="I157" s="1" t="s">
        <v>260</v>
      </c>
      <c r="J157" s="1">
        <v>66</v>
      </c>
      <c r="K157" s="1">
        <v>3</v>
      </c>
      <c r="L157" s="19">
        <v>240.17388905663427</v>
      </c>
      <c r="M157" s="24">
        <v>18.688231484113981</v>
      </c>
      <c r="N157" s="19">
        <v>57.44790545899496</v>
      </c>
      <c r="O157" s="19">
        <v>67.786968891382259</v>
      </c>
      <c r="P157" s="19">
        <v>37.714206489022551</v>
      </c>
      <c r="Q157" s="1">
        <v>2019</v>
      </c>
      <c r="R157" s="19">
        <v>15337</v>
      </c>
      <c r="S157" s="40">
        <f t="shared" si="6"/>
        <v>54.31636027979993</v>
      </c>
      <c r="T157" s="27"/>
      <c r="U157" s="20"/>
      <c r="V157" s="34">
        <f t="shared" ca="1" si="7"/>
        <v>23</v>
      </c>
      <c r="W157" s="18" t="str">
        <f t="shared" ca="1" si="8"/>
        <v>0-25</v>
      </c>
      <c r="X157" s="18"/>
    </row>
    <row r="158" spans="1:24" ht="15" customHeight="1" x14ac:dyDescent="0.25">
      <c r="A158" s="4" t="s">
        <v>155</v>
      </c>
      <c r="B158" s="1" t="s">
        <v>227</v>
      </c>
      <c r="C158" s="1" t="s">
        <v>210</v>
      </c>
      <c r="D158" s="1" t="s">
        <v>164</v>
      </c>
      <c r="E158" s="1">
        <v>31.073</v>
      </c>
      <c r="F158" s="1" t="s">
        <v>259</v>
      </c>
      <c r="G158" s="1">
        <v>3555209.512223464</v>
      </c>
      <c r="H158" s="1">
        <v>1998</v>
      </c>
      <c r="I158" s="1" t="s">
        <v>260</v>
      </c>
      <c r="J158" s="1">
        <v>60</v>
      </c>
      <c r="K158" s="1">
        <v>3</v>
      </c>
      <c r="L158" s="19">
        <v>213.56592915041441</v>
      </c>
      <c r="M158" s="24">
        <v>14.067843077762825</v>
      </c>
      <c r="N158" s="19">
        <v>56.760231739815346</v>
      </c>
      <c r="O158" s="19">
        <v>70.347582475205044</v>
      </c>
      <c r="P158" s="19">
        <v>47.294702246182908</v>
      </c>
      <c r="Q158" s="1">
        <v>2020</v>
      </c>
      <c r="R158" s="19">
        <v>17837</v>
      </c>
      <c r="S158" s="40">
        <f t="shared" si="6"/>
        <v>58.134172153734433</v>
      </c>
      <c r="T158" s="27"/>
      <c r="U158" s="20"/>
      <c r="V158" s="34">
        <f t="shared" ca="1" si="7"/>
        <v>28</v>
      </c>
      <c r="W158" s="18" t="str">
        <f t="shared" ca="1" si="8"/>
        <v>25-50</v>
      </c>
      <c r="X158" s="18"/>
    </row>
    <row r="159" spans="1:24" ht="15" customHeight="1" x14ac:dyDescent="0.25">
      <c r="A159" s="4" t="s">
        <v>156</v>
      </c>
      <c r="B159" s="1" t="s">
        <v>227</v>
      </c>
      <c r="C159" s="1" t="s">
        <v>210</v>
      </c>
      <c r="D159" s="1" t="s">
        <v>163</v>
      </c>
      <c r="E159" s="1">
        <v>1.2E-2</v>
      </c>
      <c r="F159" s="1" t="s">
        <v>259</v>
      </c>
      <c r="G159" s="1">
        <v>1823820.469158401</v>
      </c>
      <c r="H159" s="1">
        <v>1994</v>
      </c>
      <c r="I159" s="1" t="s">
        <v>260</v>
      </c>
      <c r="J159" s="1">
        <v>34</v>
      </c>
      <c r="K159" s="1">
        <v>2</v>
      </c>
      <c r="L159" s="19">
        <v>107.35696688006703</v>
      </c>
      <c r="M159" s="24">
        <v>16.813437807700627</v>
      </c>
      <c r="N159" s="19">
        <v>71.701240176686198</v>
      </c>
      <c r="O159" s="19">
        <v>53.9360858716297</v>
      </c>
      <c r="P159" s="19">
        <v>37.329492169804823</v>
      </c>
      <c r="Q159" s="1">
        <v>2020</v>
      </c>
      <c r="R159" s="19">
        <v>14128</v>
      </c>
      <c r="S159" s="40">
        <f t="shared" si="6"/>
        <v>54.322272739373574</v>
      </c>
      <c r="T159" s="27"/>
      <c r="U159" s="20"/>
      <c r="V159" s="34">
        <f t="shared" ca="1" si="7"/>
        <v>32</v>
      </c>
      <c r="W159" s="18" t="str">
        <f t="shared" ca="1" si="8"/>
        <v>25-50</v>
      </c>
      <c r="X159" s="18"/>
    </row>
    <row r="160" spans="1:24" ht="15" customHeight="1" x14ac:dyDescent="0.25">
      <c r="A160" s="4" t="s">
        <v>157</v>
      </c>
      <c r="B160" s="1" t="s">
        <v>227</v>
      </c>
      <c r="C160" s="1" t="s">
        <v>209</v>
      </c>
      <c r="D160" s="1" t="s">
        <v>164</v>
      </c>
      <c r="E160" s="1">
        <v>43.838999999999999</v>
      </c>
      <c r="F160" s="1" t="s">
        <v>259</v>
      </c>
      <c r="G160" s="1">
        <v>1288238.6208550341</v>
      </c>
      <c r="H160" s="1">
        <v>1994</v>
      </c>
      <c r="I160" s="1" t="s">
        <v>260</v>
      </c>
      <c r="J160" s="1">
        <v>34</v>
      </c>
      <c r="K160" s="1">
        <v>2</v>
      </c>
      <c r="L160" s="19">
        <v>85.305460808796269</v>
      </c>
      <c r="M160" s="24">
        <v>13.772770592285218</v>
      </c>
      <c r="N160" s="19">
        <v>59.058313436555274</v>
      </c>
      <c r="O160" s="19">
        <v>68.236487377861266</v>
      </c>
      <c r="P160" s="19">
        <v>36.142568784018337</v>
      </c>
      <c r="Q160" s="1">
        <v>2018</v>
      </c>
      <c r="R160" s="19">
        <v>19162</v>
      </c>
      <c r="S160" s="40">
        <f t="shared" si="6"/>
        <v>54.479123199478295</v>
      </c>
      <c r="T160" s="27"/>
      <c r="U160" s="20"/>
      <c r="V160" s="34">
        <f t="shared" ca="1" si="7"/>
        <v>32</v>
      </c>
      <c r="W160" s="18" t="str">
        <f t="shared" ca="1" si="8"/>
        <v>25-50</v>
      </c>
      <c r="X160" s="18"/>
    </row>
    <row r="161" spans="1:24" ht="15" customHeight="1" x14ac:dyDescent="0.25">
      <c r="A161" s="4" t="s">
        <v>158</v>
      </c>
      <c r="B161" s="1" t="s">
        <v>227</v>
      </c>
      <c r="C161" s="1" t="s">
        <v>207</v>
      </c>
      <c r="D161" s="1" t="s">
        <v>163</v>
      </c>
      <c r="E161" s="1">
        <v>0.311</v>
      </c>
      <c r="F161" s="1" t="s">
        <v>241</v>
      </c>
      <c r="G161" s="1">
        <v>1685967.5202401984</v>
      </c>
      <c r="H161" s="1">
        <v>2008</v>
      </c>
      <c r="I161" s="1" t="s">
        <v>260</v>
      </c>
      <c r="J161" s="1">
        <v>56</v>
      </c>
      <c r="K161" s="1">
        <v>1</v>
      </c>
      <c r="L161" s="19">
        <v>91.845560697775198</v>
      </c>
      <c r="M161" s="24">
        <v>17.94017985700021</v>
      </c>
      <c r="N161" s="19">
        <v>51.442940738746643</v>
      </c>
      <c r="O161" s="19">
        <v>74.76201168160523</v>
      </c>
      <c r="P161" s="19">
        <v>37.958021360276327</v>
      </c>
      <c r="Q161" s="1">
        <v>2021</v>
      </c>
      <c r="R161" s="19">
        <v>11552</v>
      </c>
      <c r="S161" s="40">
        <f t="shared" si="6"/>
        <v>54.720991260209395</v>
      </c>
      <c r="T161" s="27"/>
      <c r="U161" s="20"/>
      <c r="V161" s="34">
        <f t="shared" ca="1" si="7"/>
        <v>18</v>
      </c>
      <c r="W161" s="18" t="str">
        <f t="shared" ca="1" si="8"/>
        <v>0-25</v>
      </c>
      <c r="X161" s="18"/>
    </row>
    <row r="162" spans="1:24" ht="15" customHeight="1" x14ac:dyDescent="0.25">
      <c r="A162" s="4" t="s">
        <v>159</v>
      </c>
      <c r="B162" s="1" t="s">
        <v>227</v>
      </c>
      <c r="C162" s="1" t="s">
        <v>210</v>
      </c>
      <c r="D162" s="1" t="s">
        <v>163</v>
      </c>
      <c r="E162" s="1">
        <v>30.952999999999999</v>
      </c>
      <c r="F162" s="1" t="s">
        <v>241</v>
      </c>
      <c r="G162" s="1">
        <v>953883.61087304668</v>
      </c>
      <c r="H162" s="1">
        <v>1994</v>
      </c>
      <c r="I162" s="1" t="s">
        <v>267</v>
      </c>
      <c r="J162" s="1">
        <v>33.5</v>
      </c>
      <c r="K162" s="1">
        <v>1</v>
      </c>
      <c r="L162" s="19">
        <v>65.226238398301987</v>
      </c>
      <c r="M162" s="24">
        <v>12.900389117391288</v>
      </c>
      <c r="N162" s="19">
        <v>53.817540464377714</v>
      </c>
      <c r="O162" s="19">
        <v>43.432537140173473</v>
      </c>
      <c r="P162" s="19">
        <v>67.577647689994009</v>
      </c>
      <c r="Q162" s="1">
        <v>2021</v>
      </c>
      <c r="R162" s="19">
        <v>15677</v>
      </c>
      <c r="S162" s="40">
        <f t="shared" si="6"/>
        <v>54.942575098181727</v>
      </c>
      <c r="T162" s="27"/>
      <c r="U162" s="20"/>
      <c r="V162" s="34">
        <f t="shared" ca="1" si="7"/>
        <v>32</v>
      </c>
      <c r="W162" s="18" t="str">
        <f t="shared" ca="1" si="8"/>
        <v>25-50</v>
      </c>
      <c r="X162" s="18"/>
    </row>
    <row r="163" spans="1:24" ht="15" customHeight="1" x14ac:dyDescent="0.25">
      <c r="A163" s="5" t="s">
        <v>160</v>
      </c>
      <c r="B163" s="6" t="s">
        <v>227</v>
      </c>
      <c r="C163" s="6" t="s">
        <v>210</v>
      </c>
      <c r="D163" s="6" t="s">
        <v>164</v>
      </c>
      <c r="E163" s="6">
        <v>30.61</v>
      </c>
      <c r="F163" s="6" t="s">
        <v>241</v>
      </c>
      <c r="G163" s="6">
        <v>1244060.7934518887</v>
      </c>
      <c r="H163" s="6">
        <v>1998</v>
      </c>
      <c r="I163" s="6" t="s">
        <v>267</v>
      </c>
      <c r="J163" s="6">
        <v>33.5</v>
      </c>
      <c r="K163" s="6">
        <v>1</v>
      </c>
      <c r="L163" s="26">
        <v>49.055740888115118</v>
      </c>
      <c r="M163" s="25">
        <v>23.171562385258046</v>
      </c>
      <c r="N163" s="19">
        <v>60.779426160062108</v>
      </c>
      <c r="O163" s="19">
        <v>74.920400983698514</v>
      </c>
      <c r="P163" s="19">
        <v>46.296234180293496</v>
      </c>
      <c r="Q163" s="1">
        <v>2020</v>
      </c>
      <c r="R163" s="19">
        <v>17806</v>
      </c>
      <c r="S163" s="40">
        <f t="shared" si="6"/>
        <v>60.665353774684696</v>
      </c>
      <c r="T163" s="27"/>
      <c r="U163" s="20"/>
      <c r="V163" s="34">
        <f t="shared" ca="1" si="7"/>
        <v>28</v>
      </c>
      <c r="W163" s="18" t="str">
        <f t="shared" ca="1" si="8"/>
        <v>25-50</v>
      </c>
      <c r="X163" s="18"/>
    </row>
  </sheetData>
  <mergeCells count="17">
    <mergeCell ref="M1:M2"/>
    <mergeCell ref="S1:S2"/>
    <mergeCell ref="N1:P1"/>
    <mergeCell ref="R1:R2"/>
    <mergeCell ref="A1:A2"/>
    <mergeCell ref="B1:B2"/>
    <mergeCell ref="F1:F2"/>
    <mergeCell ref="H1:H2"/>
    <mergeCell ref="Q1:Q2"/>
    <mergeCell ref="D1:D2"/>
    <mergeCell ref="E1:E2"/>
    <mergeCell ref="C1:C2"/>
    <mergeCell ref="K1:K2"/>
    <mergeCell ref="G1:G2"/>
    <mergeCell ref="I1:I2"/>
    <mergeCell ref="J1:J2"/>
    <mergeCell ref="L1:L2"/>
  </mergeCells>
  <phoneticPr fontId="2" type="noConversion"/>
  <pageMargins left="0.59055118110236227" right="0.59055118110236227" top="0.59055118110236227" bottom="0.59055118110236227" header="0.51181102362204722" footer="0.39370078740157483"/>
  <pageSetup scale="99" orientation="landscape" horizontalDpi="150" verticalDpi="150" r:id="rId1"/>
  <headerFooter alignWithMargins="0">
    <oddFooter>&amp;CBridge Data - 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D844-1B1D-4A06-85ED-C0940667CBF1}">
  <dimension ref="A3:B14"/>
  <sheetViews>
    <sheetView workbookViewId="0">
      <selection activeCell="B20" sqref="B20"/>
    </sheetView>
  </sheetViews>
  <sheetFormatPr defaultRowHeight="13.2" x14ac:dyDescent="0.25"/>
  <cols>
    <col min="1" max="1" width="13.33203125" bestFit="1" customWidth="1"/>
    <col min="2" max="2" width="26.33203125" bestFit="1" customWidth="1"/>
  </cols>
  <sheetData>
    <row r="3" spans="1:2" x14ac:dyDescent="0.25">
      <c r="A3" s="65" t="s">
        <v>329</v>
      </c>
      <c r="B3" t="s">
        <v>331</v>
      </c>
    </row>
    <row r="4" spans="1:2" x14ac:dyDescent="0.25">
      <c r="A4" s="66" t="s">
        <v>332</v>
      </c>
      <c r="B4" s="64">
        <v>54.002592843397984</v>
      </c>
    </row>
    <row r="5" spans="1:2" x14ac:dyDescent="0.25">
      <c r="A5" s="66" t="s">
        <v>333</v>
      </c>
      <c r="B5" s="64">
        <v>52.539645070868417</v>
      </c>
    </row>
    <row r="6" spans="1:2" x14ac:dyDescent="0.25">
      <c r="A6" s="66" t="s">
        <v>334</v>
      </c>
      <c r="B6" s="64">
        <v>50.171693014519676</v>
      </c>
    </row>
    <row r="7" spans="1:2" x14ac:dyDescent="0.25">
      <c r="A7" s="66" t="s">
        <v>335</v>
      </c>
      <c r="B7" s="64">
        <v>51.490337122174076</v>
      </c>
    </row>
    <row r="8" spans="1:2" x14ac:dyDescent="0.25">
      <c r="A8" s="66" t="s">
        <v>336</v>
      </c>
      <c r="B8" s="64">
        <v>54.404261048227418</v>
      </c>
    </row>
    <row r="9" spans="1:2" x14ac:dyDescent="0.25">
      <c r="A9" s="66" t="s">
        <v>337</v>
      </c>
      <c r="B9" s="64">
        <v>52.829477060106946</v>
      </c>
    </row>
    <row r="10" spans="1:2" x14ac:dyDescent="0.25">
      <c r="A10" s="66" t="s">
        <v>338</v>
      </c>
      <c r="B10" s="64">
        <v>50.926340940916106</v>
      </c>
    </row>
    <row r="11" spans="1:2" x14ac:dyDescent="0.25">
      <c r="A11" s="66" t="s">
        <v>339</v>
      </c>
      <c r="B11" s="64">
        <v>54.307035038206607</v>
      </c>
    </row>
    <row r="12" spans="1:2" x14ac:dyDescent="0.25">
      <c r="A12" s="66" t="s">
        <v>340</v>
      </c>
      <c r="B12" s="64">
        <v>49.99434970652765</v>
      </c>
    </row>
    <row r="13" spans="1:2" x14ac:dyDescent="0.25">
      <c r="A13" s="66" t="s">
        <v>341</v>
      </c>
      <c r="B13" s="64">
        <v>54.021752331167214</v>
      </c>
    </row>
    <row r="14" spans="1:2" x14ac:dyDescent="0.25">
      <c r="A14" s="66" t="s">
        <v>330</v>
      </c>
      <c r="B14" s="64">
        <v>52.417187989514638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B341-AF37-406F-B758-F7886A69D1CB}">
  <dimension ref="A1:Q163"/>
  <sheetViews>
    <sheetView workbookViewId="0">
      <selection sqref="A1:Q162"/>
    </sheetView>
  </sheetViews>
  <sheetFormatPr defaultRowHeight="13.2" x14ac:dyDescent="0.25"/>
  <cols>
    <col min="1" max="1" width="8.77734375" bestFit="1" customWidth="1"/>
    <col min="2" max="2" width="9.6640625" bestFit="1" customWidth="1"/>
    <col min="3" max="3" width="7.77734375" bestFit="1" customWidth="1"/>
    <col min="4" max="4" width="8.33203125" bestFit="1" customWidth="1"/>
    <col min="5" max="5" width="7" bestFit="1" customWidth="1"/>
    <col min="6" max="6" width="11" bestFit="1" customWidth="1"/>
    <col min="7" max="7" width="15.77734375" bestFit="1" customWidth="1"/>
    <col min="8" max="8" width="11.33203125" bestFit="1" customWidth="1"/>
    <col min="9" max="9" width="15.21875" bestFit="1" customWidth="1"/>
    <col min="10" max="10" width="11.5546875" bestFit="1" customWidth="1"/>
    <col min="11" max="11" width="9.77734375" bestFit="1" customWidth="1"/>
    <col min="12" max="12" width="19.33203125" bestFit="1" customWidth="1"/>
    <col min="13" max="13" width="16.88671875" bestFit="1" customWidth="1"/>
    <col min="14" max="14" width="8.77734375" bestFit="1" customWidth="1"/>
    <col min="15" max="15" width="10.33203125" customWidth="1"/>
    <col min="16" max="16" width="14.77734375" bestFit="1" customWidth="1"/>
    <col min="17" max="17" width="9.6640625" bestFit="1" customWidth="1"/>
  </cols>
  <sheetData>
    <row r="1" spans="1:17" ht="26.4" customHeight="1" x14ac:dyDescent="0.25">
      <c r="A1" s="50" t="s">
        <v>319</v>
      </c>
      <c r="B1" s="50" t="s">
        <v>230</v>
      </c>
      <c r="C1" s="50" t="s">
        <v>318</v>
      </c>
      <c r="D1" s="50" t="s">
        <v>320</v>
      </c>
      <c r="E1" s="50" t="s">
        <v>321</v>
      </c>
      <c r="F1" s="50" t="s">
        <v>255</v>
      </c>
      <c r="G1" s="50" t="s">
        <v>322</v>
      </c>
      <c r="H1" s="51" t="s">
        <v>323</v>
      </c>
      <c r="I1" s="50" t="s">
        <v>324</v>
      </c>
      <c r="J1" s="50" t="s">
        <v>325</v>
      </c>
      <c r="K1" s="50" t="s">
        <v>326</v>
      </c>
      <c r="L1" s="50" t="s">
        <v>327</v>
      </c>
      <c r="M1" s="50" t="s">
        <v>328</v>
      </c>
      <c r="N1" s="52" t="s">
        <v>231</v>
      </c>
      <c r="O1" s="52" t="s">
        <v>297</v>
      </c>
      <c r="P1" s="52" t="s">
        <v>317</v>
      </c>
      <c r="Q1" s="63" t="s">
        <v>306</v>
      </c>
    </row>
    <row r="2" spans="1:17" x14ac:dyDescent="0.25">
      <c r="A2" s="53" t="s">
        <v>0</v>
      </c>
      <c r="B2" s="54" t="s">
        <v>228</v>
      </c>
      <c r="C2" s="54" t="s">
        <v>188</v>
      </c>
      <c r="D2" s="54" t="s">
        <v>165</v>
      </c>
      <c r="E2" s="54">
        <v>14.818</v>
      </c>
      <c r="F2" s="54" t="s">
        <v>262</v>
      </c>
      <c r="G2" s="55">
        <v>251124.06191240353</v>
      </c>
      <c r="H2" s="54">
        <v>1975</v>
      </c>
      <c r="I2" s="54" t="s">
        <v>240</v>
      </c>
      <c r="J2" s="54">
        <v>6.1</v>
      </c>
      <c r="K2" s="54">
        <v>1</v>
      </c>
      <c r="L2" s="56">
        <v>11.67066921107164</v>
      </c>
      <c r="M2" s="57">
        <v>21.488883734719522</v>
      </c>
      <c r="N2" s="54">
        <v>2018</v>
      </c>
      <c r="O2" s="56">
        <v>15562</v>
      </c>
      <c r="P2" s="58">
        <v>57.157253504955285</v>
      </c>
      <c r="Q2">
        <v>51</v>
      </c>
    </row>
    <row r="3" spans="1:17" x14ac:dyDescent="0.25">
      <c r="A3" s="53" t="s">
        <v>1</v>
      </c>
      <c r="B3" s="54" t="s">
        <v>227</v>
      </c>
      <c r="C3" s="54" t="s">
        <v>218</v>
      </c>
      <c r="D3" s="54" t="s">
        <v>165</v>
      </c>
      <c r="E3" s="54">
        <v>23.774000000000001</v>
      </c>
      <c r="F3" s="54" t="s">
        <v>262</v>
      </c>
      <c r="G3" s="55">
        <v>4463535.7898894809</v>
      </c>
      <c r="H3" s="54">
        <v>1978</v>
      </c>
      <c r="I3" s="54" t="s">
        <v>272</v>
      </c>
      <c r="J3" s="54">
        <v>36.6</v>
      </c>
      <c r="K3" s="54">
        <v>4</v>
      </c>
      <c r="L3" s="56">
        <v>251.22812754341305</v>
      </c>
      <c r="M3" s="57">
        <v>16.919171264706787</v>
      </c>
      <c r="N3" s="54">
        <v>2018</v>
      </c>
      <c r="O3" s="56">
        <v>8773</v>
      </c>
      <c r="P3" s="58">
        <v>60.464752220482602</v>
      </c>
      <c r="Q3">
        <v>48</v>
      </c>
    </row>
    <row r="4" spans="1:17" x14ac:dyDescent="0.25">
      <c r="A4" s="53" t="s">
        <v>2</v>
      </c>
      <c r="B4" s="54" t="s">
        <v>227</v>
      </c>
      <c r="C4" s="54" t="s">
        <v>202</v>
      </c>
      <c r="D4" s="54" t="s">
        <v>165</v>
      </c>
      <c r="E4" s="54">
        <v>21.297999999999998</v>
      </c>
      <c r="F4" s="54" t="s">
        <v>262</v>
      </c>
      <c r="G4" s="55">
        <v>1019767.4364383416</v>
      </c>
      <c r="H4" s="54">
        <v>1959</v>
      </c>
      <c r="I4" s="54" t="s">
        <v>270</v>
      </c>
      <c r="J4" s="54">
        <v>18.899999999999999</v>
      </c>
      <c r="K4" s="54">
        <v>3</v>
      </c>
      <c r="L4" s="56">
        <v>83.83034506957496</v>
      </c>
      <c r="M4" s="57">
        <v>11.835840971436529</v>
      </c>
      <c r="N4" s="54">
        <v>2019</v>
      </c>
      <c r="O4" s="56">
        <v>2277</v>
      </c>
      <c r="P4" s="58">
        <v>49.810348333775032</v>
      </c>
      <c r="Q4">
        <v>67</v>
      </c>
    </row>
    <row r="5" spans="1:17" x14ac:dyDescent="0.25">
      <c r="A5" s="53" t="s">
        <v>3</v>
      </c>
      <c r="B5" s="54" t="s">
        <v>227</v>
      </c>
      <c r="C5" s="54" t="s">
        <v>193</v>
      </c>
      <c r="D5" s="54" t="s">
        <v>165</v>
      </c>
      <c r="E5" s="54">
        <v>41.786999999999999</v>
      </c>
      <c r="F5" s="54" t="s">
        <v>241</v>
      </c>
      <c r="G5" s="55">
        <v>670009.48873344739</v>
      </c>
      <c r="H5" s="54">
        <v>1992</v>
      </c>
      <c r="I5" s="54" t="s">
        <v>244</v>
      </c>
      <c r="J5" s="54">
        <v>12</v>
      </c>
      <c r="K5" s="54">
        <v>3</v>
      </c>
      <c r="L5" s="56">
        <v>51.404896404317199</v>
      </c>
      <c r="M5" s="57">
        <v>12.470935571330523</v>
      </c>
      <c r="N5" s="54">
        <v>2017</v>
      </c>
      <c r="O5" s="56">
        <v>7101</v>
      </c>
      <c r="P5" s="58">
        <v>53.789833487712905</v>
      </c>
      <c r="Q5">
        <v>34</v>
      </c>
    </row>
    <row r="6" spans="1:17" x14ac:dyDescent="0.25">
      <c r="A6" s="53" t="s">
        <v>4</v>
      </c>
      <c r="B6" s="54" t="s">
        <v>227</v>
      </c>
      <c r="C6" s="54" t="s">
        <v>186</v>
      </c>
      <c r="D6" s="54" t="s">
        <v>165</v>
      </c>
      <c r="E6" s="54">
        <v>11.901</v>
      </c>
      <c r="F6" s="54" t="s">
        <v>264</v>
      </c>
      <c r="G6" s="55">
        <v>1282952.8879425246</v>
      </c>
      <c r="H6" s="54">
        <v>1958</v>
      </c>
      <c r="I6" s="54" t="s">
        <v>268</v>
      </c>
      <c r="J6" s="54">
        <v>23.8</v>
      </c>
      <c r="K6" s="54">
        <v>3</v>
      </c>
      <c r="L6" s="56">
        <v>58.376076312648181</v>
      </c>
      <c r="M6" s="57">
        <v>20.657970783618357</v>
      </c>
      <c r="N6" s="54">
        <v>2018</v>
      </c>
      <c r="O6" s="56">
        <v>1840</v>
      </c>
      <c r="P6" s="58">
        <v>59.403294955240007</v>
      </c>
      <c r="Q6">
        <v>68</v>
      </c>
    </row>
    <row r="7" spans="1:17" x14ac:dyDescent="0.25">
      <c r="A7" s="53" t="s">
        <v>5</v>
      </c>
      <c r="B7" s="54" t="s">
        <v>227</v>
      </c>
      <c r="C7" s="54" t="s">
        <v>203</v>
      </c>
      <c r="D7" s="54" t="s">
        <v>165</v>
      </c>
      <c r="E7" s="54">
        <v>27.285</v>
      </c>
      <c r="F7" s="54" t="s">
        <v>262</v>
      </c>
      <c r="G7" s="55">
        <v>1189593.3485300427</v>
      </c>
      <c r="H7" s="54">
        <v>1960</v>
      </c>
      <c r="I7" s="54" t="s">
        <v>244</v>
      </c>
      <c r="J7" s="54">
        <v>12</v>
      </c>
      <c r="K7" s="54">
        <v>3</v>
      </c>
      <c r="L7" s="56">
        <v>57.206124806734522</v>
      </c>
      <c r="M7" s="57">
        <v>18.940724820987079</v>
      </c>
      <c r="N7" s="54">
        <v>2021</v>
      </c>
      <c r="O7" s="56">
        <v>3525</v>
      </c>
      <c r="P7" s="58">
        <v>52.741352891052543</v>
      </c>
      <c r="Q7">
        <v>66</v>
      </c>
    </row>
    <row r="8" spans="1:17" x14ac:dyDescent="0.25">
      <c r="A8" s="53" t="s">
        <v>6</v>
      </c>
      <c r="B8" s="54" t="s">
        <v>227</v>
      </c>
      <c r="C8" s="54" t="s">
        <v>205</v>
      </c>
      <c r="D8" s="54" t="s">
        <v>165</v>
      </c>
      <c r="E8" s="54">
        <v>2.83</v>
      </c>
      <c r="F8" s="54" t="s">
        <v>241</v>
      </c>
      <c r="G8" s="55">
        <v>1670412.8036958587</v>
      </c>
      <c r="H8" s="54">
        <v>1962</v>
      </c>
      <c r="I8" s="54" t="s">
        <v>265</v>
      </c>
      <c r="J8" s="54">
        <v>26.5</v>
      </c>
      <c r="K8" s="54">
        <v>2</v>
      </c>
      <c r="L8" s="56">
        <v>100.08348038040221</v>
      </c>
      <c r="M8" s="57">
        <v>14.789270346281661</v>
      </c>
      <c r="N8" s="54">
        <v>2019</v>
      </c>
      <c r="O8" s="56">
        <v>19965</v>
      </c>
      <c r="P8" s="58">
        <v>47.328337058046579</v>
      </c>
      <c r="Q8">
        <v>64</v>
      </c>
    </row>
    <row r="9" spans="1:17" x14ac:dyDescent="0.25">
      <c r="A9" s="53" t="s">
        <v>7</v>
      </c>
      <c r="B9" s="54" t="s">
        <v>227</v>
      </c>
      <c r="C9" s="54" t="s">
        <v>178</v>
      </c>
      <c r="D9" s="54" t="s">
        <v>163</v>
      </c>
      <c r="E9" s="54">
        <v>1.113</v>
      </c>
      <c r="F9" s="54" t="s">
        <v>241</v>
      </c>
      <c r="G9" s="55">
        <v>4549103.597241817</v>
      </c>
      <c r="H9" s="54">
        <v>1978</v>
      </c>
      <c r="I9" s="54" t="s">
        <v>261</v>
      </c>
      <c r="J9" s="54">
        <v>33.5</v>
      </c>
      <c r="K9" s="54">
        <v>4</v>
      </c>
      <c r="L9" s="56">
        <v>237.68289695302366</v>
      </c>
      <c r="M9" s="57">
        <v>16.699356979198576</v>
      </c>
      <c r="N9" s="54">
        <v>2019</v>
      </c>
      <c r="O9" s="56">
        <v>12643</v>
      </c>
      <c r="P9" s="58">
        <v>46.629132491099625</v>
      </c>
      <c r="Q9">
        <v>48</v>
      </c>
    </row>
    <row r="10" spans="1:17" x14ac:dyDescent="0.25">
      <c r="A10" s="53" t="s">
        <v>8</v>
      </c>
      <c r="B10" s="54" t="s">
        <v>227</v>
      </c>
      <c r="C10" s="54" t="s">
        <v>178</v>
      </c>
      <c r="D10" s="54" t="s">
        <v>164</v>
      </c>
      <c r="E10" s="54">
        <v>1.1160000000000001</v>
      </c>
      <c r="F10" s="54" t="s">
        <v>262</v>
      </c>
      <c r="G10" s="55">
        <v>4043723.6028631856</v>
      </c>
      <c r="H10" s="54">
        <v>2000</v>
      </c>
      <c r="I10" s="54" t="s">
        <v>263</v>
      </c>
      <c r="J10" s="54">
        <v>36</v>
      </c>
      <c r="K10" s="54">
        <v>4</v>
      </c>
      <c r="L10" s="56">
        <v>192.19568014145511</v>
      </c>
      <c r="M10" s="57">
        <v>18.904551629944571</v>
      </c>
      <c r="N10" s="54">
        <v>2021</v>
      </c>
      <c r="O10" s="56">
        <v>6516</v>
      </c>
      <c r="P10" s="58">
        <v>49.972463756533443</v>
      </c>
      <c r="Q10">
        <v>26</v>
      </c>
    </row>
    <row r="11" spans="1:17" x14ac:dyDescent="0.25">
      <c r="A11" s="53" t="s">
        <v>9</v>
      </c>
      <c r="B11" s="54" t="s">
        <v>227</v>
      </c>
      <c r="C11" s="54" t="s">
        <v>215</v>
      </c>
      <c r="D11" s="54" t="s">
        <v>165</v>
      </c>
      <c r="E11" s="54">
        <v>1.476</v>
      </c>
      <c r="F11" s="54" t="s">
        <v>241</v>
      </c>
      <c r="G11" s="55">
        <v>3478925.460657056</v>
      </c>
      <c r="H11" s="54">
        <v>1959</v>
      </c>
      <c r="I11" s="54" t="s">
        <v>268</v>
      </c>
      <c r="J11" s="54">
        <v>37.799999999999997</v>
      </c>
      <c r="K11" s="54">
        <v>5</v>
      </c>
      <c r="L11" s="56">
        <v>222.32176123008821</v>
      </c>
      <c r="M11" s="57">
        <v>14.715282844925081</v>
      </c>
      <c r="N11" s="54">
        <v>2021</v>
      </c>
      <c r="O11" s="56">
        <v>7778</v>
      </c>
      <c r="P11" s="58">
        <v>62.440325720777942</v>
      </c>
      <c r="Q11">
        <v>67</v>
      </c>
    </row>
    <row r="12" spans="1:17" x14ac:dyDescent="0.25">
      <c r="A12" s="53" t="s">
        <v>10</v>
      </c>
      <c r="B12" s="54" t="s">
        <v>227</v>
      </c>
      <c r="C12" s="54" t="s">
        <v>198</v>
      </c>
      <c r="D12" s="54" t="s">
        <v>165</v>
      </c>
      <c r="E12" s="54">
        <v>32.829000000000001</v>
      </c>
      <c r="F12" s="54" t="s">
        <v>241</v>
      </c>
      <c r="G12" s="55">
        <v>352391.52350210596</v>
      </c>
      <c r="H12" s="54">
        <v>1996</v>
      </c>
      <c r="I12" s="54" t="s">
        <v>244</v>
      </c>
      <c r="J12" s="54">
        <v>14</v>
      </c>
      <c r="K12" s="54">
        <v>1</v>
      </c>
      <c r="L12" s="56">
        <v>16.832756558206228</v>
      </c>
      <c r="M12" s="57">
        <v>20.277462192094525</v>
      </c>
      <c r="N12" s="54">
        <v>2017</v>
      </c>
      <c r="O12" s="56">
        <v>11325</v>
      </c>
      <c r="P12" s="58">
        <v>51.683716299720238</v>
      </c>
      <c r="Q12">
        <v>30</v>
      </c>
    </row>
    <row r="13" spans="1:17" x14ac:dyDescent="0.25">
      <c r="A13" s="53" t="s">
        <v>11</v>
      </c>
      <c r="B13" s="54" t="s">
        <v>227</v>
      </c>
      <c r="C13" s="54" t="s">
        <v>176</v>
      </c>
      <c r="D13" s="54" t="s">
        <v>165</v>
      </c>
      <c r="E13" s="54">
        <v>10.519</v>
      </c>
      <c r="F13" s="54" t="s">
        <v>262</v>
      </c>
      <c r="G13" s="55">
        <v>5511985.4767215485</v>
      </c>
      <c r="H13" s="54">
        <v>1983</v>
      </c>
      <c r="I13" s="54" t="s">
        <v>260</v>
      </c>
      <c r="J13" s="54">
        <v>56.4</v>
      </c>
      <c r="K13" s="54">
        <v>4</v>
      </c>
      <c r="L13" s="56">
        <v>247.16195402695811</v>
      </c>
      <c r="M13" s="57">
        <v>21.920796703598633</v>
      </c>
      <c r="N13" s="54">
        <v>2021</v>
      </c>
      <c r="O13" s="56">
        <v>9749</v>
      </c>
      <c r="P13" s="58">
        <v>43.939139963803562</v>
      </c>
      <c r="Q13">
        <v>43</v>
      </c>
    </row>
    <row r="14" spans="1:17" x14ac:dyDescent="0.25">
      <c r="A14" s="53" t="s">
        <v>12</v>
      </c>
      <c r="B14" s="54" t="s">
        <v>228</v>
      </c>
      <c r="C14" s="54" t="s">
        <v>242</v>
      </c>
      <c r="D14" s="54" t="s">
        <v>165</v>
      </c>
      <c r="E14" s="54">
        <v>7.048</v>
      </c>
      <c r="F14" s="54" t="s">
        <v>241</v>
      </c>
      <c r="G14" s="55">
        <v>802148.87788631732</v>
      </c>
      <c r="H14" s="54">
        <v>1981</v>
      </c>
      <c r="I14" s="54" t="s">
        <v>236</v>
      </c>
      <c r="J14" s="54">
        <v>8.5</v>
      </c>
      <c r="K14" s="54">
        <v>4</v>
      </c>
      <c r="L14" s="56">
        <v>51.853519176691343</v>
      </c>
      <c r="M14" s="57">
        <v>13.954876271232271</v>
      </c>
      <c r="N14" s="54">
        <v>2021</v>
      </c>
      <c r="O14" s="56">
        <v>16130</v>
      </c>
      <c r="P14" s="58">
        <v>55.020170171745406</v>
      </c>
      <c r="Q14">
        <v>45</v>
      </c>
    </row>
    <row r="15" spans="1:17" x14ac:dyDescent="0.25">
      <c r="A15" s="53" t="s">
        <v>13</v>
      </c>
      <c r="B15" s="54" t="s">
        <v>227</v>
      </c>
      <c r="C15" s="54" t="s">
        <v>187</v>
      </c>
      <c r="D15" s="54" t="s">
        <v>165</v>
      </c>
      <c r="E15" s="54">
        <v>33.5</v>
      </c>
      <c r="F15" s="54" t="s">
        <v>241</v>
      </c>
      <c r="G15" s="55">
        <v>2857194.493205219</v>
      </c>
      <c r="H15" s="54">
        <v>1904</v>
      </c>
      <c r="I15" s="54" t="s">
        <v>271</v>
      </c>
      <c r="J15" s="54">
        <v>41.5</v>
      </c>
      <c r="K15" s="54">
        <v>5</v>
      </c>
      <c r="L15" s="56">
        <v>319.07680372587504</v>
      </c>
      <c r="M15" s="57">
        <v>8.6370149064671509</v>
      </c>
      <c r="N15" s="54">
        <v>2020</v>
      </c>
      <c r="O15" s="56">
        <v>5048</v>
      </c>
      <c r="P15" s="58">
        <v>54.021752331167214</v>
      </c>
      <c r="Q15">
        <v>122</v>
      </c>
    </row>
    <row r="16" spans="1:17" x14ac:dyDescent="0.25">
      <c r="A16" s="53" t="s">
        <v>14</v>
      </c>
      <c r="B16" s="54" t="s">
        <v>227</v>
      </c>
      <c r="C16" s="54" t="s">
        <v>175</v>
      </c>
      <c r="D16" s="54" t="s">
        <v>165</v>
      </c>
      <c r="E16" s="54">
        <v>1.1519999999999999</v>
      </c>
      <c r="F16" s="54" t="s">
        <v>262</v>
      </c>
      <c r="G16" s="55">
        <v>1146988.4068193901</v>
      </c>
      <c r="H16" s="54">
        <v>1956</v>
      </c>
      <c r="I16" s="54" t="s">
        <v>268</v>
      </c>
      <c r="J16" s="54">
        <v>24.4</v>
      </c>
      <c r="K16" s="54">
        <v>3</v>
      </c>
      <c r="L16" s="56">
        <v>112.50401489745974</v>
      </c>
      <c r="M16" s="57">
        <v>9.3099227183538069</v>
      </c>
      <c r="N16" s="54">
        <v>2021</v>
      </c>
      <c r="O16" s="56">
        <v>9772</v>
      </c>
      <c r="P16" s="58">
        <v>57.618542608270708</v>
      </c>
      <c r="Q16">
        <v>70</v>
      </c>
    </row>
    <row r="17" spans="1:17" x14ac:dyDescent="0.25">
      <c r="A17" s="53" t="s">
        <v>15</v>
      </c>
      <c r="B17" s="54" t="s">
        <v>227</v>
      </c>
      <c r="C17" s="54" t="s">
        <v>189</v>
      </c>
      <c r="D17" s="54" t="s">
        <v>165</v>
      </c>
      <c r="E17" s="54">
        <v>1.4999999999999999E-2</v>
      </c>
      <c r="F17" s="54" t="s">
        <v>241</v>
      </c>
      <c r="G17" s="55">
        <v>1786568.9542627223</v>
      </c>
      <c r="H17" s="54">
        <v>1960</v>
      </c>
      <c r="I17" s="54" t="s">
        <v>271</v>
      </c>
      <c r="J17" s="54">
        <v>29</v>
      </c>
      <c r="K17" s="54">
        <v>4</v>
      </c>
      <c r="L17" s="56">
        <v>120.17178417421088</v>
      </c>
      <c r="M17" s="57">
        <v>13.504347150109094</v>
      </c>
      <c r="N17" s="54">
        <v>2020</v>
      </c>
      <c r="O17" s="56">
        <v>6628</v>
      </c>
      <c r="P17" s="58">
        <v>42.933718342058036</v>
      </c>
      <c r="Q17">
        <v>66</v>
      </c>
    </row>
    <row r="18" spans="1:17" x14ac:dyDescent="0.25">
      <c r="A18" s="53" t="s">
        <v>16</v>
      </c>
      <c r="B18" s="54" t="s">
        <v>227</v>
      </c>
      <c r="C18" s="54" t="s">
        <v>186</v>
      </c>
      <c r="D18" s="54" t="s">
        <v>165</v>
      </c>
      <c r="E18" s="54">
        <v>26.451000000000001</v>
      </c>
      <c r="F18" s="54" t="s">
        <v>262</v>
      </c>
      <c r="G18" s="55">
        <v>1684041.0413914879</v>
      </c>
      <c r="H18" s="54">
        <v>1963</v>
      </c>
      <c r="I18" s="54" t="s">
        <v>271</v>
      </c>
      <c r="J18" s="54">
        <v>25.9</v>
      </c>
      <c r="K18" s="54">
        <v>2</v>
      </c>
      <c r="L18" s="56">
        <v>91.729318074843064</v>
      </c>
      <c r="M18" s="57">
        <v>16.078839511543844</v>
      </c>
      <c r="N18" s="54">
        <v>2017</v>
      </c>
      <c r="O18" s="56">
        <v>1923</v>
      </c>
      <c r="P18" s="58">
        <v>55.144634962180135</v>
      </c>
      <c r="Q18">
        <v>63</v>
      </c>
    </row>
    <row r="19" spans="1:17" x14ac:dyDescent="0.25">
      <c r="A19" s="53" t="s">
        <v>17</v>
      </c>
      <c r="B19" s="54" t="s">
        <v>227</v>
      </c>
      <c r="C19" s="54" t="s">
        <v>217</v>
      </c>
      <c r="D19" s="54" t="s">
        <v>165</v>
      </c>
      <c r="E19" s="54">
        <v>24.443999999999999</v>
      </c>
      <c r="F19" s="54" t="s">
        <v>262</v>
      </c>
      <c r="G19" s="55">
        <v>689996.81518236233</v>
      </c>
      <c r="H19" s="54">
        <v>1996</v>
      </c>
      <c r="I19" s="54" t="s">
        <v>244</v>
      </c>
      <c r="J19" s="54">
        <v>12</v>
      </c>
      <c r="K19" s="54">
        <v>3</v>
      </c>
      <c r="L19" s="56">
        <v>42.016513506110186</v>
      </c>
      <c r="M19" s="57">
        <v>16.045810559088345</v>
      </c>
      <c r="N19" s="54">
        <v>2021</v>
      </c>
      <c r="O19" s="56">
        <v>3970</v>
      </c>
      <c r="P19" s="58">
        <v>48.683125155698768</v>
      </c>
      <c r="Q19">
        <v>30</v>
      </c>
    </row>
    <row r="20" spans="1:17" x14ac:dyDescent="0.25">
      <c r="A20" s="53" t="s">
        <v>18</v>
      </c>
      <c r="B20" s="54" t="s">
        <v>227</v>
      </c>
      <c r="C20" s="54" t="s">
        <v>190</v>
      </c>
      <c r="D20" s="54" t="s">
        <v>165</v>
      </c>
      <c r="E20" s="54">
        <v>37.826999999999998</v>
      </c>
      <c r="F20" s="54" t="s">
        <v>241</v>
      </c>
      <c r="G20" s="55">
        <v>2796556.153220111</v>
      </c>
      <c r="H20" s="54">
        <v>1966</v>
      </c>
      <c r="I20" s="54" t="s">
        <v>248</v>
      </c>
      <c r="J20" s="54">
        <v>26.8</v>
      </c>
      <c r="K20" s="54">
        <v>5</v>
      </c>
      <c r="L20" s="56">
        <v>186.87176047010547</v>
      </c>
      <c r="M20" s="57">
        <v>14.457405472032102</v>
      </c>
      <c r="N20" s="54">
        <v>2021</v>
      </c>
      <c r="O20" s="56">
        <v>11230</v>
      </c>
      <c r="P20" s="58">
        <v>61.55587260603405</v>
      </c>
      <c r="Q20">
        <v>60</v>
      </c>
    </row>
    <row r="21" spans="1:17" x14ac:dyDescent="0.25">
      <c r="A21" s="53" t="s">
        <v>19</v>
      </c>
      <c r="B21" s="54" t="s">
        <v>228</v>
      </c>
      <c r="C21" s="54" t="s">
        <v>220</v>
      </c>
      <c r="D21" s="54" t="s">
        <v>165</v>
      </c>
      <c r="E21" s="54">
        <v>17.350999999999999</v>
      </c>
      <c r="F21" s="54" t="s">
        <v>262</v>
      </c>
      <c r="G21" s="55">
        <v>132489.09843738575</v>
      </c>
      <c r="H21" s="54">
        <v>1993</v>
      </c>
      <c r="I21" s="54" t="s">
        <v>239</v>
      </c>
      <c r="J21" s="54">
        <v>6</v>
      </c>
      <c r="K21" s="54">
        <v>1</v>
      </c>
      <c r="L21" s="56">
        <v>8.7998387930865718</v>
      </c>
      <c r="M21" s="57">
        <v>13.471621177097791</v>
      </c>
      <c r="N21" s="54">
        <v>2019</v>
      </c>
      <c r="O21" s="56">
        <v>7557</v>
      </c>
      <c r="P21" s="58">
        <v>44.239632696445916</v>
      </c>
      <c r="Q21">
        <v>33</v>
      </c>
    </row>
    <row r="22" spans="1:17" x14ac:dyDescent="0.25">
      <c r="A22" s="53" t="s">
        <v>20</v>
      </c>
      <c r="B22" s="54" t="s">
        <v>227</v>
      </c>
      <c r="C22" s="54" t="s">
        <v>204</v>
      </c>
      <c r="D22" s="54" t="s">
        <v>165</v>
      </c>
      <c r="E22" s="54">
        <v>12.084</v>
      </c>
      <c r="F22" s="54" t="s">
        <v>262</v>
      </c>
      <c r="G22" s="55">
        <v>832057.73114503641</v>
      </c>
      <c r="H22" s="54">
        <v>1979</v>
      </c>
      <c r="I22" s="54" t="s">
        <v>238</v>
      </c>
      <c r="J22" s="54">
        <v>16.8</v>
      </c>
      <c r="K22" s="54">
        <v>3</v>
      </c>
      <c r="L22" s="56">
        <v>65.492900646833604</v>
      </c>
      <c r="M22" s="57">
        <v>10.791886286965916</v>
      </c>
      <c r="N22" s="54">
        <v>2019</v>
      </c>
      <c r="O22" s="56">
        <v>1104</v>
      </c>
      <c r="P22" s="58">
        <v>49.934557118921894</v>
      </c>
      <c r="Q22">
        <v>47</v>
      </c>
    </row>
    <row r="23" spans="1:17" x14ac:dyDescent="0.25">
      <c r="A23" s="53" t="s">
        <v>21</v>
      </c>
      <c r="B23" s="54" t="s">
        <v>228</v>
      </c>
      <c r="C23" s="54" t="s">
        <v>205</v>
      </c>
      <c r="D23" s="54" t="s">
        <v>165</v>
      </c>
      <c r="E23" s="54">
        <v>3.5870000000000002</v>
      </c>
      <c r="F23" s="54" t="s">
        <v>262</v>
      </c>
      <c r="G23" s="55">
        <v>842900.82901747467</v>
      </c>
      <c r="H23" s="54">
        <v>1994</v>
      </c>
      <c r="I23" s="54" t="s">
        <v>239</v>
      </c>
      <c r="J23" s="54">
        <v>8.5</v>
      </c>
      <c r="K23" s="54">
        <v>3</v>
      </c>
      <c r="L23" s="56">
        <v>48.610820406565452</v>
      </c>
      <c r="M23" s="57">
        <v>15.768949899351082</v>
      </c>
      <c r="N23" s="54">
        <v>2017</v>
      </c>
      <c r="O23" s="56">
        <v>1098</v>
      </c>
      <c r="P23" s="58">
        <v>49.639873312767314</v>
      </c>
      <c r="Q23">
        <v>32</v>
      </c>
    </row>
    <row r="24" spans="1:17" x14ac:dyDescent="0.25">
      <c r="A24" s="53" t="s">
        <v>22</v>
      </c>
      <c r="B24" s="54" t="s">
        <v>228</v>
      </c>
      <c r="C24" s="54" t="s">
        <v>190</v>
      </c>
      <c r="D24" s="54" t="s">
        <v>165</v>
      </c>
      <c r="E24" s="54">
        <v>12.398999999999999</v>
      </c>
      <c r="F24" s="54" t="s">
        <v>266</v>
      </c>
      <c r="G24" s="55">
        <v>435772.74309782957</v>
      </c>
      <c r="H24" s="54">
        <v>1974</v>
      </c>
      <c r="I24" s="54" t="s">
        <v>247</v>
      </c>
      <c r="J24" s="54">
        <v>8.5</v>
      </c>
      <c r="K24" s="54">
        <v>3</v>
      </c>
      <c r="L24" s="56">
        <v>27.84372926792572</v>
      </c>
      <c r="M24" s="57">
        <v>15.470679280880953</v>
      </c>
      <c r="N24" s="54">
        <v>2019</v>
      </c>
      <c r="O24" s="56">
        <v>7095</v>
      </c>
      <c r="P24" s="58">
        <v>63.674495684313946</v>
      </c>
      <c r="Q24">
        <v>52</v>
      </c>
    </row>
    <row r="25" spans="1:17" x14ac:dyDescent="0.25">
      <c r="A25" s="53" t="s">
        <v>23</v>
      </c>
      <c r="B25" s="54" t="s">
        <v>227</v>
      </c>
      <c r="C25" s="54" t="s">
        <v>202</v>
      </c>
      <c r="D25" s="54" t="s">
        <v>165</v>
      </c>
      <c r="E25" s="54">
        <v>1.9770000000000001</v>
      </c>
      <c r="F25" s="54" t="s">
        <v>241</v>
      </c>
      <c r="G25" s="55">
        <v>2859857.6006403971</v>
      </c>
      <c r="H25" s="54">
        <v>1970</v>
      </c>
      <c r="I25" s="54" t="s">
        <v>271</v>
      </c>
      <c r="J25" s="54">
        <v>30.5</v>
      </c>
      <c r="K25" s="54">
        <v>4</v>
      </c>
      <c r="L25" s="56">
        <v>214.12840752514947</v>
      </c>
      <c r="M25" s="57">
        <v>13.054156866835967</v>
      </c>
      <c r="N25" s="54">
        <v>2017</v>
      </c>
      <c r="O25" s="56">
        <v>16521</v>
      </c>
      <c r="P25" s="58">
        <v>52.955878647833224</v>
      </c>
      <c r="Q25">
        <v>56</v>
      </c>
    </row>
    <row r="26" spans="1:17" x14ac:dyDescent="0.25">
      <c r="A26" s="53" t="s">
        <v>24</v>
      </c>
      <c r="B26" s="54" t="s">
        <v>227</v>
      </c>
      <c r="C26" s="54" t="s">
        <v>198</v>
      </c>
      <c r="D26" s="54" t="s">
        <v>165</v>
      </c>
      <c r="E26" s="54">
        <v>11.715</v>
      </c>
      <c r="F26" s="54" t="s">
        <v>241</v>
      </c>
      <c r="G26" s="55">
        <v>1678195.1353252209</v>
      </c>
      <c r="H26" s="54">
        <v>1998</v>
      </c>
      <c r="I26" s="54" t="s">
        <v>244</v>
      </c>
      <c r="J26" s="54">
        <v>12.6</v>
      </c>
      <c r="K26" s="54">
        <v>3</v>
      </c>
      <c r="L26" s="56">
        <v>56.689945054940026</v>
      </c>
      <c r="M26" s="57">
        <v>25.050852749884086</v>
      </c>
      <c r="N26" s="54">
        <v>2019</v>
      </c>
      <c r="O26" s="56">
        <v>8037</v>
      </c>
      <c r="P26" s="58">
        <v>53.685811540686153</v>
      </c>
      <c r="Q26">
        <v>28</v>
      </c>
    </row>
    <row r="27" spans="1:17" x14ac:dyDescent="0.25">
      <c r="A27" s="53" t="s">
        <v>25</v>
      </c>
      <c r="B27" s="54" t="s">
        <v>227</v>
      </c>
      <c r="C27" s="54" t="s">
        <v>192</v>
      </c>
      <c r="D27" s="54" t="s">
        <v>165</v>
      </c>
      <c r="E27" s="54">
        <v>1.516</v>
      </c>
      <c r="F27" s="54" t="s">
        <v>262</v>
      </c>
      <c r="G27" s="55">
        <v>761346.12139838212</v>
      </c>
      <c r="H27" s="54">
        <v>1974</v>
      </c>
      <c r="I27" s="54" t="s">
        <v>249</v>
      </c>
      <c r="J27" s="54">
        <v>15.2</v>
      </c>
      <c r="K27" s="54">
        <v>3</v>
      </c>
      <c r="L27" s="56">
        <v>59.392316497314042</v>
      </c>
      <c r="M27" s="57">
        <v>12.722577260722939</v>
      </c>
      <c r="N27" s="54">
        <v>2017</v>
      </c>
      <c r="O27" s="56">
        <v>16827</v>
      </c>
      <c r="P27" s="58">
        <v>54.389429061968222</v>
      </c>
      <c r="Q27">
        <v>52</v>
      </c>
    </row>
    <row r="28" spans="1:17" x14ac:dyDescent="0.25">
      <c r="A28" s="53" t="s">
        <v>26</v>
      </c>
      <c r="B28" s="54" t="s">
        <v>227</v>
      </c>
      <c r="C28" s="54" t="s">
        <v>222</v>
      </c>
      <c r="D28" s="54" t="s">
        <v>165</v>
      </c>
      <c r="E28" s="54">
        <v>16.010999999999999</v>
      </c>
      <c r="F28" s="54" t="s">
        <v>241</v>
      </c>
      <c r="G28" s="55">
        <v>2387218.7811095775</v>
      </c>
      <c r="H28" s="54">
        <v>1969</v>
      </c>
      <c r="I28" s="54" t="s">
        <v>261</v>
      </c>
      <c r="J28" s="54">
        <v>27.4</v>
      </c>
      <c r="K28" s="54">
        <v>3</v>
      </c>
      <c r="L28" s="56">
        <v>133.67393662544885</v>
      </c>
      <c r="M28" s="57">
        <v>17.267342958095995</v>
      </c>
      <c r="N28" s="54">
        <v>2021</v>
      </c>
      <c r="O28" s="56">
        <v>3755</v>
      </c>
      <c r="P28" s="58">
        <v>55.111976803492617</v>
      </c>
      <c r="Q28">
        <v>57</v>
      </c>
    </row>
    <row r="29" spans="1:17" x14ac:dyDescent="0.25">
      <c r="A29" s="53" t="s">
        <v>27</v>
      </c>
      <c r="B29" s="54" t="s">
        <v>227</v>
      </c>
      <c r="C29" s="54" t="s">
        <v>218</v>
      </c>
      <c r="D29" s="54" t="s">
        <v>165</v>
      </c>
      <c r="E29" s="54">
        <v>12.897</v>
      </c>
      <c r="F29" s="54" t="s">
        <v>262</v>
      </c>
      <c r="G29" s="55">
        <v>1339916.9429461097</v>
      </c>
      <c r="H29" s="54">
        <v>1969</v>
      </c>
      <c r="I29" s="54" t="s">
        <v>271</v>
      </c>
      <c r="J29" s="54">
        <v>24.4</v>
      </c>
      <c r="K29" s="54">
        <v>3</v>
      </c>
      <c r="L29" s="56">
        <v>119.58678046304838</v>
      </c>
      <c r="M29" s="57">
        <v>11.097089452192121</v>
      </c>
      <c r="N29" s="54">
        <v>2017</v>
      </c>
      <c r="O29" s="56">
        <v>3034</v>
      </c>
      <c r="P29" s="58">
        <v>51.785889684963479</v>
      </c>
      <c r="Q29">
        <v>57</v>
      </c>
    </row>
    <row r="30" spans="1:17" x14ac:dyDescent="0.25">
      <c r="A30" s="53" t="s">
        <v>28</v>
      </c>
      <c r="B30" s="54" t="s">
        <v>227</v>
      </c>
      <c r="C30" s="54" t="s">
        <v>191</v>
      </c>
      <c r="D30" s="54" t="s">
        <v>165</v>
      </c>
      <c r="E30" s="54">
        <v>18.64</v>
      </c>
      <c r="F30" s="54" t="s">
        <v>241</v>
      </c>
      <c r="G30" s="55">
        <v>1138863.9217678781</v>
      </c>
      <c r="H30" s="54">
        <v>1967</v>
      </c>
      <c r="I30" s="54" t="s">
        <v>273</v>
      </c>
      <c r="J30" s="54">
        <v>21.3</v>
      </c>
      <c r="K30" s="54">
        <v>3</v>
      </c>
      <c r="L30" s="56">
        <v>85.167685738140449</v>
      </c>
      <c r="M30" s="57">
        <v>11.393140584294535</v>
      </c>
      <c r="N30" s="54">
        <v>2018</v>
      </c>
      <c r="O30" s="56">
        <v>4489</v>
      </c>
      <c r="P30" s="58">
        <v>53.239453682044022</v>
      </c>
      <c r="Q30">
        <v>59</v>
      </c>
    </row>
    <row r="31" spans="1:17" x14ac:dyDescent="0.25">
      <c r="A31" s="53" t="s">
        <v>29</v>
      </c>
      <c r="B31" s="54" t="s">
        <v>227</v>
      </c>
      <c r="C31" s="54" t="s">
        <v>186</v>
      </c>
      <c r="D31" s="54" t="s">
        <v>165</v>
      </c>
      <c r="E31" s="54">
        <v>12.218999999999999</v>
      </c>
      <c r="F31" s="54" t="s">
        <v>262</v>
      </c>
      <c r="G31" s="55">
        <v>1438079.524160655</v>
      </c>
      <c r="H31" s="54">
        <v>1956</v>
      </c>
      <c r="I31" s="54" t="s">
        <v>271</v>
      </c>
      <c r="J31" s="54">
        <v>27.4</v>
      </c>
      <c r="K31" s="54">
        <v>3</v>
      </c>
      <c r="L31" s="56">
        <v>84.819029600665019</v>
      </c>
      <c r="M31" s="57">
        <v>14.192253320839027</v>
      </c>
      <c r="N31" s="54">
        <v>2020</v>
      </c>
      <c r="O31" s="56">
        <v>19134</v>
      </c>
      <c r="P31" s="58">
        <v>50.196178807341347</v>
      </c>
      <c r="Q31">
        <v>70</v>
      </c>
    </row>
    <row r="32" spans="1:17" x14ac:dyDescent="0.25">
      <c r="A32" s="53" t="s">
        <v>30</v>
      </c>
      <c r="B32" s="54" t="s">
        <v>227</v>
      </c>
      <c r="C32" s="54" t="s">
        <v>225</v>
      </c>
      <c r="D32" s="54" t="s">
        <v>165</v>
      </c>
      <c r="E32" s="54">
        <v>1.5389999999999999</v>
      </c>
      <c r="F32" s="54" t="s">
        <v>241</v>
      </c>
      <c r="G32" s="55">
        <v>3913923.3155466379</v>
      </c>
      <c r="H32" s="54">
        <v>1968</v>
      </c>
      <c r="I32" s="54" t="s">
        <v>265</v>
      </c>
      <c r="J32" s="54">
        <v>34.4</v>
      </c>
      <c r="K32" s="54">
        <v>5</v>
      </c>
      <c r="L32" s="56">
        <v>203.34497120582591</v>
      </c>
      <c r="M32" s="57">
        <v>17.956317364599204</v>
      </c>
      <c r="N32" s="54">
        <v>2017</v>
      </c>
      <c r="O32" s="56">
        <v>10188</v>
      </c>
      <c r="P32" s="58">
        <v>52.864471609174494</v>
      </c>
      <c r="Q32">
        <v>58</v>
      </c>
    </row>
    <row r="33" spans="1:17" x14ac:dyDescent="0.25">
      <c r="A33" s="53" t="s">
        <v>31</v>
      </c>
      <c r="B33" s="54" t="s">
        <v>228</v>
      </c>
      <c r="C33" s="54" t="s">
        <v>211</v>
      </c>
      <c r="D33" s="54" t="s">
        <v>163</v>
      </c>
      <c r="E33" s="54">
        <v>23.52</v>
      </c>
      <c r="F33" s="54" t="s">
        <v>269</v>
      </c>
      <c r="G33" s="55">
        <v>1285477.1251813972</v>
      </c>
      <c r="H33" s="54">
        <v>1968</v>
      </c>
      <c r="I33" s="54" t="s">
        <v>247</v>
      </c>
      <c r="J33" s="54">
        <v>6.1</v>
      </c>
      <c r="K33" s="54">
        <v>6</v>
      </c>
      <c r="L33" s="56">
        <v>48.823638182174093</v>
      </c>
      <c r="M33" s="57">
        <v>25.608833477134141</v>
      </c>
      <c r="N33" s="54">
        <v>2021</v>
      </c>
      <c r="O33" s="56">
        <v>13004</v>
      </c>
      <c r="P33" s="58">
        <v>60.505285614609782</v>
      </c>
      <c r="Q33">
        <v>58</v>
      </c>
    </row>
    <row r="34" spans="1:17" x14ac:dyDescent="0.25">
      <c r="A34" s="53" t="s">
        <v>32</v>
      </c>
      <c r="B34" s="54" t="s">
        <v>227</v>
      </c>
      <c r="C34" s="54" t="s">
        <v>211</v>
      </c>
      <c r="D34" s="54" t="s">
        <v>164</v>
      </c>
      <c r="E34" s="54">
        <v>23.524999999999999</v>
      </c>
      <c r="F34" s="54" t="s">
        <v>269</v>
      </c>
      <c r="G34" s="55">
        <v>1077559.8338131174</v>
      </c>
      <c r="H34" s="54">
        <v>1997</v>
      </c>
      <c r="I34" s="54" t="s">
        <v>244</v>
      </c>
      <c r="J34" s="54">
        <v>13</v>
      </c>
      <c r="K34" s="54">
        <v>3</v>
      </c>
      <c r="L34" s="56">
        <v>47.242770985827846</v>
      </c>
      <c r="M34" s="57">
        <v>20.9206350008199</v>
      </c>
      <c r="N34" s="54">
        <v>2018</v>
      </c>
      <c r="O34" s="56">
        <v>17851</v>
      </c>
      <c r="P34" s="58">
        <v>49.599720380355961</v>
      </c>
      <c r="Q34">
        <v>29</v>
      </c>
    </row>
    <row r="35" spans="1:17" x14ac:dyDescent="0.25">
      <c r="A35" s="53" t="s">
        <v>33</v>
      </c>
      <c r="B35" s="54" t="s">
        <v>227</v>
      </c>
      <c r="C35" s="54" t="s">
        <v>171</v>
      </c>
      <c r="D35" s="54" t="s">
        <v>163</v>
      </c>
      <c r="E35" s="54">
        <v>52.792999999999999</v>
      </c>
      <c r="F35" s="54" t="s">
        <v>241</v>
      </c>
      <c r="G35" s="55">
        <v>1532277.4565797048</v>
      </c>
      <c r="H35" s="54">
        <v>1991</v>
      </c>
      <c r="I35" s="54" t="s">
        <v>243</v>
      </c>
      <c r="J35" s="54">
        <v>42</v>
      </c>
      <c r="K35" s="54">
        <v>1</v>
      </c>
      <c r="L35" s="56">
        <v>83.549668432561162</v>
      </c>
      <c r="M35" s="57">
        <v>17.474538240779498</v>
      </c>
      <c r="N35" s="54">
        <v>2020</v>
      </c>
      <c r="O35" s="56">
        <v>17795</v>
      </c>
      <c r="P35" s="58">
        <v>43.769733700053386</v>
      </c>
      <c r="Q35">
        <v>35</v>
      </c>
    </row>
    <row r="36" spans="1:17" x14ac:dyDescent="0.25">
      <c r="A36" s="53" t="s">
        <v>34</v>
      </c>
      <c r="B36" s="54" t="s">
        <v>227</v>
      </c>
      <c r="C36" s="54" t="s">
        <v>171</v>
      </c>
      <c r="D36" s="54" t="s">
        <v>164</v>
      </c>
      <c r="E36" s="54">
        <v>52.765999999999998</v>
      </c>
      <c r="F36" s="54" t="s">
        <v>262</v>
      </c>
      <c r="G36" s="55">
        <v>1011428.0283711256</v>
      </c>
      <c r="H36" s="54">
        <v>1959</v>
      </c>
      <c r="I36" s="54" t="s">
        <v>268</v>
      </c>
      <c r="J36" s="54">
        <v>18.3</v>
      </c>
      <c r="K36" s="54">
        <v>3</v>
      </c>
      <c r="L36" s="56">
        <v>52.613948496730913</v>
      </c>
      <c r="M36" s="57">
        <v>17.362711620243768</v>
      </c>
      <c r="N36" s="54">
        <v>2019</v>
      </c>
      <c r="O36" s="56">
        <v>3395</v>
      </c>
      <c r="P36" s="58">
        <v>57.402055054310495</v>
      </c>
      <c r="Q36">
        <v>67</v>
      </c>
    </row>
    <row r="37" spans="1:17" x14ac:dyDescent="0.25">
      <c r="A37" s="53" t="s">
        <v>35</v>
      </c>
      <c r="B37" s="54" t="s">
        <v>228</v>
      </c>
      <c r="C37" s="54" t="s">
        <v>194</v>
      </c>
      <c r="D37" s="54" t="s">
        <v>165</v>
      </c>
      <c r="E37" s="54">
        <v>31.225000000000001</v>
      </c>
      <c r="F37" s="54" t="s">
        <v>262</v>
      </c>
      <c r="G37" s="55">
        <v>949435.04611196986</v>
      </c>
      <c r="H37" s="54">
        <v>1981</v>
      </c>
      <c r="I37" s="54" t="s">
        <v>239</v>
      </c>
      <c r="J37" s="54">
        <v>11</v>
      </c>
      <c r="K37" s="54">
        <v>3</v>
      </c>
      <c r="L37" s="56">
        <v>38.575178693828867</v>
      </c>
      <c r="M37" s="57">
        <v>20.763792509377513</v>
      </c>
      <c r="N37" s="54">
        <v>2018</v>
      </c>
      <c r="O37" s="56">
        <v>19933</v>
      </c>
      <c r="P37" s="58">
        <v>56.950172492556057</v>
      </c>
      <c r="Q37">
        <v>45</v>
      </c>
    </row>
    <row r="38" spans="1:17" x14ac:dyDescent="0.25">
      <c r="A38" s="53" t="s">
        <v>36</v>
      </c>
      <c r="B38" s="54" t="s">
        <v>227</v>
      </c>
      <c r="C38" s="54" t="s">
        <v>174</v>
      </c>
      <c r="D38" s="54" t="s">
        <v>165</v>
      </c>
      <c r="E38" s="54">
        <v>27.818000000000001</v>
      </c>
      <c r="F38" s="54" t="s">
        <v>262</v>
      </c>
      <c r="G38" s="55">
        <v>743163.98973769683</v>
      </c>
      <c r="H38" s="54">
        <v>1992</v>
      </c>
      <c r="I38" s="54" t="s">
        <v>251</v>
      </c>
      <c r="J38" s="54">
        <v>10</v>
      </c>
      <c r="K38" s="54">
        <v>3</v>
      </c>
      <c r="L38" s="56">
        <v>31.265554279826468</v>
      </c>
      <c r="M38" s="57">
        <v>22.725785333467552</v>
      </c>
      <c r="N38" s="54">
        <v>2020</v>
      </c>
      <c r="O38" s="56">
        <v>7791</v>
      </c>
      <c r="P38" s="58">
        <v>58.946512130241523</v>
      </c>
      <c r="Q38">
        <v>34</v>
      </c>
    </row>
    <row r="39" spans="1:17" x14ac:dyDescent="0.25">
      <c r="A39" s="53" t="s">
        <v>37</v>
      </c>
      <c r="B39" s="54" t="s">
        <v>227</v>
      </c>
      <c r="C39" s="54" t="s">
        <v>214</v>
      </c>
      <c r="D39" s="54" t="s">
        <v>165</v>
      </c>
      <c r="E39" s="54">
        <v>32.35</v>
      </c>
      <c r="F39" s="54" t="s">
        <v>241</v>
      </c>
      <c r="G39" s="55">
        <v>3210659.7287687347</v>
      </c>
      <c r="H39" s="54">
        <v>1965</v>
      </c>
      <c r="I39" s="54" t="s">
        <v>271</v>
      </c>
      <c r="J39" s="54">
        <v>45.1</v>
      </c>
      <c r="K39" s="54">
        <v>5</v>
      </c>
      <c r="L39" s="56">
        <v>243.98164589322801</v>
      </c>
      <c r="M39" s="57">
        <v>11.777025644295721</v>
      </c>
      <c r="N39" s="54">
        <v>2019</v>
      </c>
      <c r="O39" s="56">
        <v>8832</v>
      </c>
      <c r="P39" s="58">
        <v>48.064497774957793</v>
      </c>
      <c r="Q39">
        <v>61</v>
      </c>
    </row>
    <row r="40" spans="1:17" x14ac:dyDescent="0.25">
      <c r="A40" s="53" t="s">
        <v>38</v>
      </c>
      <c r="B40" s="54" t="s">
        <v>227</v>
      </c>
      <c r="C40" s="54" t="s">
        <v>217</v>
      </c>
      <c r="D40" s="54" t="s">
        <v>165</v>
      </c>
      <c r="E40" s="54">
        <v>0.13400000000000001</v>
      </c>
      <c r="F40" s="54" t="s">
        <v>241</v>
      </c>
      <c r="G40" s="55">
        <v>1848888.7166578437</v>
      </c>
      <c r="H40" s="54">
        <v>1973</v>
      </c>
      <c r="I40" s="54" t="s">
        <v>261</v>
      </c>
      <c r="J40" s="54">
        <v>33.5</v>
      </c>
      <c r="K40" s="54">
        <v>3</v>
      </c>
      <c r="L40" s="56">
        <v>133.95462900899943</v>
      </c>
      <c r="M40" s="57">
        <v>11.603092531510153</v>
      </c>
      <c r="N40" s="54">
        <v>2018</v>
      </c>
      <c r="O40" s="56">
        <v>3032</v>
      </c>
      <c r="P40" s="58">
        <v>51.03306008591958</v>
      </c>
      <c r="Q40">
        <v>53</v>
      </c>
    </row>
    <row r="41" spans="1:17" x14ac:dyDescent="0.25">
      <c r="A41" s="53" t="s">
        <v>39</v>
      </c>
      <c r="B41" s="54" t="s">
        <v>227</v>
      </c>
      <c r="C41" s="54" t="s">
        <v>221</v>
      </c>
      <c r="D41" s="54" t="s">
        <v>165</v>
      </c>
      <c r="E41" s="54">
        <v>21.931999999999999</v>
      </c>
      <c r="F41" s="54" t="s">
        <v>241</v>
      </c>
      <c r="G41" s="55">
        <v>1408566.2799091632</v>
      </c>
      <c r="H41" s="54">
        <v>1995</v>
      </c>
      <c r="I41" s="54" t="s">
        <v>244</v>
      </c>
      <c r="J41" s="54">
        <v>12.6</v>
      </c>
      <c r="K41" s="54">
        <v>3</v>
      </c>
      <c r="L41" s="56">
        <v>61.887020393305257</v>
      </c>
      <c r="M41" s="57">
        <v>19.05923698160062</v>
      </c>
      <c r="N41" s="54">
        <v>2020</v>
      </c>
      <c r="O41" s="56">
        <v>6306</v>
      </c>
      <c r="P41" s="58">
        <v>51.627620092428572</v>
      </c>
      <c r="Q41">
        <v>31</v>
      </c>
    </row>
    <row r="42" spans="1:17" x14ac:dyDescent="0.25">
      <c r="A42" s="53" t="s">
        <v>40</v>
      </c>
      <c r="B42" s="54" t="s">
        <v>227</v>
      </c>
      <c r="C42" s="54" t="s">
        <v>200</v>
      </c>
      <c r="D42" s="54" t="s">
        <v>165</v>
      </c>
      <c r="E42" s="54">
        <v>0.121</v>
      </c>
      <c r="F42" s="54" t="s">
        <v>241</v>
      </c>
      <c r="G42" s="55">
        <v>3494368.340997051</v>
      </c>
      <c r="H42" s="54">
        <v>1976</v>
      </c>
      <c r="I42" s="54" t="s">
        <v>280</v>
      </c>
      <c r="J42" s="54">
        <v>38.1</v>
      </c>
      <c r="K42" s="54">
        <v>5</v>
      </c>
      <c r="L42" s="56">
        <v>226.20380895988083</v>
      </c>
      <c r="M42" s="57">
        <v>15.000349843920862</v>
      </c>
      <c r="N42" s="54">
        <v>2020</v>
      </c>
      <c r="O42" s="56">
        <v>18291</v>
      </c>
      <c r="P42" s="58">
        <v>57.157715743361713</v>
      </c>
      <c r="Q42">
        <v>50</v>
      </c>
    </row>
    <row r="43" spans="1:17" x14ac:dyDescent="0.25">
      <c r="A43" s="53" t="s">
        <v>41</v>
      </c>
      <c r="B43" s="54" t="s">
        <v>227</v>
      </c>
      <c r="C43" s="54" t="s">
        <v>209</v>
      </c>
      <c r="D43" s="54" t="s">
        <v>165</v>
      </c>
      <c r="E43" s="54">
        <v>11.853999999999999</v>
      </c>
      <c r="F43" s="54" t="s">
        <v>241</v>
      </c>
      <c r="G43" s="55">
        <v>1092483.7047900539</v>
      </c>
      <c r="H43" s="54">
        <v>1960</v>
      </c>
      <c r="I43" s="54" t="s">
        <v>265</v>
      </c>
      <c r="J43" s="54">
        <v>19.5</v>
      </c>
      <c r="K43" s="54">
        <v>3</v>
      </c>
      <c r="L43" s="56">
        <v>68.974564109060537</v>
      </c>
      <c r="M43" s="57">
        <v>13.694317153029349</v>
      </c>
      <c r="N43" s="54">
        <v>2019</v>
      </c>
      <c r="O43" s="56">
        <v>19556</v>
      </c>
      <c r="P43" s="58">
        <v>49.540670509718893</v>
      </c>
      <c r="Q43">
        <v>66</v>
      </c>
    </row>
    <row r="44" spans="1:17" x14ac:dyDescent="0.25">
      <c r="A44" s="53" t="s">
        <v>42</v>
      </c>
      <c r="B44" s="54" t="s">
        <v>228</v>
      </c>
      <c r="C44" s="54" t="s">
        <v>216</v>
      </c>
      <c r="D44" s="54" t="s">
        <v>165</v>
      </c>
      <c r="E44" s="54">
        <v>1.1890000000000001</v>
      </c>
      <c r="F44" s="54" t="s">
        <v>241</v>
      </c>
      <c r="G44" s="55">
        <v>301815.57454487908</v>
      </c>
      <c r="H44" s="54">
        <v>1990</v>
      </c>
      <c r="I44" s="54" t="s">
        <v>239</v>
      </c>
      <c r="J44" s="54">
        <v>6</v>
      </c>
      <c r="K44" s="54">
        <v>2</v>
      </c>
      <c r="L44" s="56">
        <v>21.104276396479076</v>
      </c>
      <c r="M44" s="57">
        <v>12.700299879772752</v>
      </c>
      <c r="N44" s="54">
        <v>2021</v>
      </c>
      <c r="O44" s="56">
        <v>14659</v>
      </c>
      <c r="P44" s="58">
        <v>48.160215057266349</v>
      </c>
      <c r="Q44">
        <v>36</v>
      </c>
    </row>
    <row r="45" spans="1:17" x14ac:dyDescent="0.25">
      <c r="A45" s="53" t="s">
        <v>43</v>
      </c>
      <c r="B45" s="54" t="s">
        <v>228</v>
      </c>
      <c r="C45" s="54" t="s">
        <v>226</v>
      </c>
      <c r="D45" s="54" t="s">
        <v>165</v>
      </c>
      <c r="E45" s="54">
        <v>10.663</v>
      </c>
      <c r="F45" s="54" t="s">
        <v>262</v>
      </c>
      <c r="G45" s="55">
        <v>434100.40025795891</v>
      </c>
      <c r="H45" s="54">
        <v>1985</v>
      </c>
      <c r="I45" s="54" t="s">
        <v>240</v>
      </c>
      <c r="J45" s="54">
        <v>10.7</v>
      </c>
      <c r="K45" s="54">
        <v>1</v>
      </c>
      <c r="L45" s="56">
        <v>19.235241740146556</v>
      </c>
      <c r="M45" s="57">
        <v>21.083050604493607</v>
      </c>
      <c r="N45" s="54">
        <v>2020</v>
      </c>
      <c r="O45" s="56">
        <v>16714</v>
      </c>
      <c r="P45" s="58">
        <v>52.599868385944056</v>
      </c>
      <c r="Q45">
        <v>41</v>
      </c>
    </row>
    <row r="46" spans="1:17" x14ac:dyDescent="0.25">
      <c r="A46" s="53" t="s">
        <v>44</v>
      </c>
      <c r="B46" s="54" t="s">
        <v>227</v>
      </c>
      <c r="C46" s="54" t="s">
        <v>173</v>
      </c>
      <c r="D46" s="54" t="s">
        <v>165</v>
      </c>
      <c r="E46" s="54">
        <v>6.8840000000000003</v>
      </c>
      <c r="F46" s="54" t="s">
        <v>262</v>
      </c>
      <c r="G46" s="55">
        <v>1022061.1378891171</v>
      </c>
      <c r="H46" s="54">
        <v>1956</v>
      </c>
      <c r="I46" s="54" t="s">
        <v>265</v>
      </c>
      <c r="J46" s="54">
        <v>18.3</v>
      </c>
      <c r="K46" s="54">
        <v>3</v>
      </c>
      <c r="L46" s="56">
        <v>80.853275913925685</v>
      </c>
      <c r="M46" s="57">
        <v>11.519139153828295</v>
      </c>
      <c r="N46" s="54">
        <v>2018</v>
      </c>
      <c r="O46" s="56">
        <v>9556</v>
      </c>
      <c r="P46" s="58">
        <v>50.955760809584369</v>
      </c>
      <c r="Q46">
        <v>70</v>
      </c>
    </row>
    <row r="47" spans="1:17" x14ac:dyDescent="0.25">
      <c r="A47" s="53" t="s">
        <v>45</v>
      </c>
      <c r="B47" s="54" t="s">
        <v>227</v>
      </c>
      <c r="C47" s="54" t="s">
        <v>199</v>
      </c>
      <c r="D47" s="54" t="s">
        <v>165</v>
      </c>
      <c r="E47" s="54">
        <v>18.36</v>
      </c>
      <c r="F47" s="54" t="s">
        <v>241</v>
      </c>
      <c r="G47" s="55">
        <v>664996.11364590842</v>
      </c>
      <c r="H47" s="54">
        <v>1997</v>
      </c>
      <c r="I47" s="54" t="s">
        <v>244</v>
      </c>
      <c r="J47" s="54">
        <v>12</v>
      </c>
      <c r="K47" s="54">
        <v>3</v>
      </c>
      <c r="L47" s="56">
        <v>45.353968076922726</v>
      </c>
      <c r="M47" s="57">
        <v>12.983442938224576</v>
      </c>
      <c r="N47" s="54">
        <v>2021</v>
      </c>
      <c r="O47" s="56">
        <v>8261</v>
      </c>
      <c r="P47" s="58">
        <v>60.643467706526678</v>
      </c>
      <c r="Q47">
        <v>29</v>
      </c>
    </row>
    <row r="48" spans="1:17" x14ac:dyDescent="0.25">
      <c r="A48" s="53" t="s">
        <v>46</v>
      </c>
      <c r="B48" s="54" t="s">
        <v>227</v>
      </c>
      <c r="C48" s="54" t="s">
        <v>185</v>
      </c>
      <c r="D48" s="54" t="s">
        <v>165</v>
      </c>
      <c r="E48" s="54">
        <v>31.491</v>
      </c>
      <c r="F48" s="54" t="s">
        <v>262</v>
      </c>
      <c r="G48" s="55">
        <v>1112763.5374166912</v>
      </c>
      <c r="H48" s="54">
        <v>1963</v>
      </c>
      <c r="I48" s="54" t="s">
        <v>234</v>
      </c>
      <c r="J48" s="54">
        <v>12.8</v>
      </c>
      <c r="K48" s="54">
        <v>3</v>
      </c>
      <c r="L48" s="56">
        <v>47.126469348785214</v>
      </c>
      <c r="M48" s="57">
        <v>20.430273113604898</v>
      </c>
      <c r="N48" s="54">
        <v>2018</v>
      </c>
      <c r="O48" s="56">
        <v>16717</v>
      </c>
      <c r="P48" s="58">
        <v>64.635912457217316</v>
      </c>
      <c r="Q48">
        <v>63</v>
      </c>
    </row>
    <row r="49" spans="1:17" x14ac:dyDescent="0.25">
      <c r="A49" s="53" t="s">
        <v>47</v>
      </c>
      <c r="B49" s="54" t="s">
        <v>227</v>
      </c>
      <c r="C49" s="54" t="s">
        <v>179</v>
      </c>
      <c r="D49" s="54" t="s">
        <v>163</v>
      </c>
      <c r="E49" s="54">
        <v>46.786000000000001</v>
      </c>
      <c r="F49" s="54" t="s">
        <v>262</v>
      </c>
      <c r="G49" s="55">
        <v>973663.5554495008</v>
      </c>
      <c r="H49" s="54">
        <v>1958</v>
      </c>
      <c r="I49" s="54" t="s">
        <v>268</v>
      </c>
      <c r="J49" s="54">
        <v>16.5</v>
      </c>
      <c r="K49" s="54">
        <v>3</v>
      </c>
      <c r="L49" s="56">
        <v>51.664025875195364</v>
      </c>
      <c r="M49" s="57">
        <v>17.50063965666639</v>
      </c>
      <c r="N49" s="54">
        <v>2018</v>
      </c>
      <c r="O49" s="56">
        <v>2936</v>
      </c>
      <c r="P49" s="58">
        <v>42.845222984962483</v>
      </c>
      <c r="Q49">
        <v>68</v>
      </c>
    </row>
    <row r="50" spans="1:17" x14ac:dyDescent="0.25">
      <c r="A50" s="53" t="s">
        <v>48</v>
      </c>
      <c r="B50" s="54" t="s">
        <v>227</v>
      </c>
      <c r="C50" s="54" t="s">
        <v>179</v>
      </c>
      <c r="D50" s="54" t="s">
        <v>164</v>
      </c>
      <c r="E50" s="54">
        <v>46.713999999999999</v>
      </c>
      <c r="F50" s="54" t="s">
        <v>262</v>
      </c>
      <c r="G50" s="55">
        <v>954436.43477597937</v>
      </c>
      <c r="H50" s="54">
        <v>1961</v>
      </c>
      <c r="I50" s="54" t="s">
        <v>268</v>
      </c>
      <c r="J50" s="54">
        <v>16.5</v>
      </c>
      <c r="K50" s="54">
        <v>3</v>
      </c>
      <c r="L50" s="56">
        <v>41.413757851272635</v>
      </c>
      <c r="M50" s="57">
        <v>21.597701709373222</v>
      </c>
      <c r="N50" s="54">
        <v>2020</v>
      </c>
      <c r="O50" s="56">
        <v>4815</v>
      </c>
      <c r="P50" s="58">
        <v>60.243518357941014</v>
      </c>
      <c r="Q50">
        <v>65</v>
      </c>
    </row>
    <row r="51" spans="1:17" x14ac:dyDescent="0.25">
      <c r="A51" s="53" t="s">
        <v>49</v>
      </c>
      <c r="B51" s="54" t="s">
        <v>227</v>
      </c>
      <c r="C51" s="54" t="s">
        <v>204</v>
      </c>
      <c r="D51" s="54" t="s">
        <v>165</v>
      </c>
      <c r="E51" s="54">
        <v>23.975000000000001</v>
      </c>
      <c r="F51" s="54" t="s">
        <v>262</v>
      </c>
      <c r="G51" s="55">
        <v>4268943.3480182718</v>
      </c>
      <c r="H51" s="54">
        <v>1966</v>
      </c>
      <c r="I51" s="54" t="s">
        <v>232</v>
      </c>
      <c r="J51" s="54">
        <v>61</v>
      </c>
      <c r="K51" s="54">
        <v>4</v>
      </c>
      <c r="L51" s="56">
        <v>305.89812028294756</v>
      </c>
      <c r="M51" s="57">
        <v>13.707184206006017</v>
      </c>
      <c r="N51" s="54">
        <v>2018</v>
      </c>
      <c r="O51" s="56">
        <v>15596</v>
      </c>
      <c r="P51" s="58">
        <v>62.998433175285619</v>
      </c>
      <c r="Q51">
        <v>60</v>
      </c>
    </row>
    <row r="52" spans="1:17" x14ac:dyDescent="0.25">
      <c r="A52" s="53" t="s">
        <v>50</v>
      </c>
      <c r="B52" s="54" t="s">
        <v>228</v>
      </c>
      <c r="C52" s="54" t="s">
        <v>219</v>
      </c>
      <c r="D52" s="54" t="s">
        <v>165</v>
      </c>
      <c r="E52" s="54">
        <v>35.895000000000003</v>
      </c>
      <c r="F52" s="54" t="s">
        <v>262</v>
      </c>
      <c r="G52" s="55">
        <v>149551.38236146318</v>
      </c>
      <c r="H52" s="54">
        <v>1977</v>
      </c>
      <c r="I52" s="54" t="s">
        <v>247</v>
      </c>
      <c r="J52" s="54">
        <v>8.5</v>
      </c>
      <c r="K52" s="54">
        <v>1</v>
      </c>
      <c r="L52" s="56">
        <v>8.8324197330300702</v>
      </c>
      <c r="M52" s="57">
        <v>14.503879178186173</v>
      </c>
      <c r="N52" s="54">
        <v>2021</v>
      </c>
      <c r="O52" s="56">
        <v>4567</v>
      </c>
      <c r="P52" s="58">
        <v>55.792523094773436</v>
      </c>
      <c r="Q52">
        <v>49</v>
      </c>
    </row>
    <row r="53" spans="1:17" x14ac:dyDescent="0.25">
      <c r="A53" s="53" t="s">
        <v>51</v>
      </c>
      <c r="B53" s="54" t="s">
        <v>227</v>
      </c>
      <c r="C53" s="54" t="s">
        <v>191</v>
      </c>
      <c r="D53" s="54" t="s">
        <v>165</v>
      </c>
      <c r="E53" s="54">
        <v>32.604999999999997</v>
      </c>
      <c r="F53" s="54" t="s">
        <v>241</v>
      </c>
      <c r="G53" s="55">
        <v>1092158.896363097</v>
      </c>
      <c r="H53" s="54">
        <v>1955</v>
      </c>
      <c r="I53" s="54" t="s">
        <v>268</v>
      </c>
      <c r="J53" s="54">
        <v>18.3</v>
      </c>
      <c r="K53" s="54">
        <v>3</v>
      </c>
      <c r="L53" s="56">
        <v>85.678900472835039</v>
      </c>
      <c r="M53" s="57">
        <v>12.191166365333428</v>
      </c>
      <c r="N53" s="54">
        <v>2019</v>
      </c>
      <c r="O53" s="56">
        <v>1923</v>
      </c>
      <c r="P53" s="58">
        <v>49.337805605186041</v>
      </c>
      <c r="Q53">
        <v>71</v>
      </c>
    </row>
    <row r="54" spans="1:17" x14ac:dyDescent="0.25">
      <c r="A54" s="53" t="s">
        <v>52</v>
      </c>
      <c r="B54" s="54" t="s">
        <v>227</v>
      </c>
      <c r="C54" s="54" t="s">
        <v>212</v>
      </c>
      <c r="D54" s="54" t="s">
        <v>165</v>
      </c>
      <c r="E54" s="54">
        <v>53.98</v>
      </c>
      <c r="F54" s="54" t="s">
        <v>241</v>
      </c>
      <c r="G54" s="55">
        <v>8418119.6057451442</v>
      </c>
      <c r="H54" s="54">
        <v>1960</v>
      </c>
      <c r="I54" s="54" t="s">
        <v>268</v>
      </c>
      <c r="J54" s="54">
        <v>35.1</v>
      </c>
      <c r="K54" s="54">
        <v>8</v>
      </c>
      <c r="L54" s="56">
        <v>478.52495009516002</v>
      </c>
      <c r="M54" s="57">
        <v>15.789708822632564</v>
      </c>
      <c r="N54" s="54">
        <v>2021</v>
      </c>
      <c r="O54" s="56">
        <v>5843</v>
      </c>
      <c r="P54" s="58">
        <v>50.150421113369276</v>
      </c>
      <c r="Q54">
        <v>66</v>
      </c>
    </row>
    <row r="55" spans="1:17" x14ac:dyDescent="0.25">
      <c r="A55" s="53" t="s">
        <v>53</v>
      </c>
      <c r="B55" s="54" t="s">
        <v>227</v>
      </c>
      <c r="C55" s="54" t="s">
        <v>192</v>
      </c>
      <c r="D55" s="54" t="s">
        <v>165</v>
      </c>
      <c r="E55" s="54">
        <v>34.704999999999998</v>
      </c>
      <c r="F55" s="54" t="s">
        <v>262</v>
      </c>
      <c r="G55" s="55">
        <v>3620732.1461146777</v>
      </c>
      <c r="H55" s="54">
        <v>1993</v>
      </c>
      <c r="I55" s="54" t="s">
        <v>260</v>
      </c>
      <c r="J55" s="54">
        <v>40</v>
      </c>
      <c r="K55" s="54">
        <v>2</v>
      </c>
      <c r="L55" s="56">
        <v>154.00772112036836</v>
      </c>
      <c r="M55" s="57">
        <v>22.448278675830959</v>
      </c>
      <c r="N55" s="54">
        <v>2021</v>
      </c>
      <c r="O55" s="56">
        <v>6386</v>
      </c>
      <c r="P55" s="58">
        <v>57.849048731677549</v>
      </c>
      <c r="Q55">
        <v>33</v>
      </c>
    </row>
    <row r="56" spans="1:17" x14ac:dyDescent="0.25">
      <c r="A56" s="53" t="s">
        <v>54</v>
      </c>
      <c r="B56" s="54" t="s">
        <v>227</v>
      </c>
      <c r="C56" s="54" t="s">
        <v>195</v>
      </c>
      <c r="D56" s="54" t="s">
        <v>165</v>
      </c>
      <c r="E56" s="54">
        <v>17.803999999999998</v>
      </c>
      <c r="F56" s="54" t="s">
        <v>262</v>
      </c>
      <c r="G56" s="55">
        <v>2383109.6166073503</v>
      </c>
      <c r="H56" s="54">
        <v>1929</v>
      </c>
      <c r="I56" s="54" t="s">
        <v>261</v>
      </c>
      <c r="J56" s="54">
        <v>32</v>
      </c>
      <c r="K56" s="54">
        <v>4</v>
      </c>
      <c r="L56" s="56">
        <v>203.69165512778449</v>
      </c>
      <c r="M56" s="57">
        <v>11.241129179430015</v>
      </c>
      <c r="N56" s="54">
        <v>2020</v>
      </c>
      <c r="O56" s="56">
        <v>11731</v>
      </c>
      <c r="P56" s="58">
        <v>49.99434970652765</v>
      </c>
      <c r="Q56">
        <v>97</v>
      </c>
    </row>
    <row r="57" spans="1:17" x14ac:dyDescent="0.25">
      <c r="A57" s="53" t="s">
        <v>55</v>
      </c>
      <c r="B57" s="54" t="s">
        <v>227</v>
      </c>
      <c r="C57" s="54" t="s">
        <v>185</v>
      </c>
      <c r="D57" s="54" t="s">
        <v>165</v>
      </c>
      <c r="E57" s="54">
        <v>15.113</v>
      </c>
      <c r="F57" s="54" t="s">
        <v>264</v>
      </c>
      <c r="G57" s="55">
        <v>2405950.7048417535</v>
      </c>
      <c r="H57" s="54">
        <v>1972</v>
      </c>
      <c r="I57" s="54" t="s">
        <v>238</v>
      </c>
      <c r="J57" s="54">
        <v>16.8</v>
      </c>
      <c r="K57" s="54">
        <v>5</v>
      </c>
      <c r="L57" s="56">
        <v>109.02817430927645</v>
      </c>
      <c r="M57" s="57">
        <v>21.312408968039005</v>
      </c>
      <c r="N57" s="54">
        <v>2021</v>
      </c>
      <c r="O57" s="56">
        <v>13958</v>
      </c>
      <c r="P57" s="58">
        <v>54.574022429395647</v>
      </c>
      <c r="Q57">
        <v>54</v>
      </c>
    </row>
    <row r="58" spans="1:17" x14ac:dyDescent="0.25">
      <c r="A58" s="53" t="s">
        <v>56</v>
      </c>
      <c r="B58" s="54" t="s">
        <v>227</v>
      </c>
      <c r="C58" s="54" t="s">
        <v>189</v>
      </c>
      <c r="D58" s="54" t="s">
        <v>165</v>
      </c>
      <c r="E58" s="54">
        <v>46.628</v>
      </c>
      <c r="F58" s="54" t="s">
        <v>262</v>
      </c>
      <c r="G58" s="55">
        <v>1054914.2202553186</v>
      </c>
      <c r="H58" s="54">
        <v>1979</v>
      </c>
      <c r="I58" s="54" t="s">
        <v>238</v>
      </c>
      <c r="J58" s="54">
        <v>15.2</v>
      </c>
      <c r="K58" s="54">
        <v>3</v>
      </c>
      <c r="L58" s="56">
        <v>80.498377581122043</v>
      </c>
      <c r="M58" s="57">
        <v>11.032897160124568</v>
      </c>
      <c r="N58" s="54">
        <v>2020</v>
      </c>
      <c r="O58" s="56">
        <v>9588</v>
      </c>
      <c r="P58" s="58">
        <v>50.23910135098442</v>
      </c>
      <c r="Q58">
        <v>47</v>
      </c>
    </row>
    <row r="59" spans="1:17" x14ac:dyDescent="0.25">
      <c r="A59" s="53" t="s">
        <v>57</v>
      </c>
      <c r="B59" s="54" t="s">
        <v>228</v>
      </c>
      <c r="C59" s="54" t="s">
        <v>226</v>
      </c>
      <c r="D59" s="54" t="s">
        <v>165</v>
      </c>
      <c r="E59" s="54">
        <v>42.125999999999998</v>
      </c>
      <c r="F59" s="54" t="s">
        <v>262</v>
      </c>
      <c r="G59" s="55">
        <v>662394.45386904373</v>
      </c>
      <c r="H59" s="54">
        <v>1977</v>
      </c>
      <c r="I59" s="54" t="s">
        <v>240</v>
      </c>
      <c r="J59" s="54">
        <v>7.9</v>
      </c>
      <c r="K59" s="54">
        <v>3</v>
      </c>
      <c r="L59" s="56">
        <v>36.77889404310578</v>
      </c>
      <c r="M59" s="57">
        <v>16.423234993600801</v>
      </c>
      <c r="N59" s="54">
        <v>2021</v>
      </c>
      <c r="O59" s="56">
        <v>3116</v>
      </c>
      <c r="P59" s="58">
        <v>57.357367177327006</v>
      </c>
      <c r="Q59">
        <v>49</v>
      </c>
    </row>
    <row r="60" spans="1:17" x14ac:dyDescent="0.25">
      <c r="A60" s="53" t="s">
        <v>58</v>
      </c>
      <c r="B60" s="54" t="s">
        <v>227</v>
      </c>
      <c r="C60" s="54" t="s">
        <v>173</v>
      </c>
      <c r="D60" s="54" t="s">
        <v>165</v>
      </c>
      <c r="E60" s="54">
        <v>14.917</v>
      </c>
      <c r="F60" s="54" t="s">
        <v>262</v>
      </c>
      <c r="G60" s="55">
        <v>1185958.4289431041</v>
      </c>
      <c r="H60" s="54">
        <v>1996</v>
      </c>
      <c r="I60" s="54" t="s">
        <v>244</v>
      </c>
      <c r="J60" s="54">
        <v>11</v>
      </c>
      <c r="K60" s="54">
        <v>3</v>
      </c>
      <c r="L60" s="56">
        <v>46.148862403754812</v>
      </c>
      <c r="M60" s="57">
        <v>23.766474907895919</v>
      </c>
      <c r="N60" s="54">
        <v>2020</v>
      </c>
      <c r="O60" s="56">
        <v>15435</v>
      </c>
      <c r="P60" s="58">
        <v>46.012034305554181</v>
      </c>
      <c r="Q60">
        <v>30</v>
      </c>
    </row>
    <row r="61" spans="1:17" x14ac:dyDescent="0.25">
      <c r="A61" s="53" t="s">
        <v>59</v>
      </c>
      <c r="B61" s="54" t="s">
        <v>227</v>
      </c>
      <c r="C61" s="54" t="s">
        <v>178</v>
      </c>
      <c r="D61" s="54" t="s">
        <v>163</v>
      </c>
      <c r="E61" s="54">
        <v>11.308999999999999</v>
      </c>
      <c r="F61" s="54" t="s">
        <v>241</v>
      </c>
      <c r="G61" s="55">
        <v>2534100.4665735401</v>
      </c>
      <c r="H61" s="54">
        <v>1997</v>
      </c>
      <c r="I61" s="54" t="s">
        <v>267</v>
      </c>
      <c r="J61" s="54">
        <v>30</v>
      </c>
      <c r="K61" s="54">
        <v>3</v>
      </c>
      <c r="L61" s="56">
        <v>122.72260004726809</v>
      </c>
      <c r="M61" s="57">
        <v>19.629314903675219</v>
      </c>
      <c r="N61" s="54">
        <v>2019</v>
      </c>
      <c r="O61" s="56">
        <v>3691</v>
      </c>
      <c r="P61" s="58">
        <v>40.913216236726221</v>
      </c>
      <c r="Q61">
        <v>29</v>
      </c>
    </row>
    <row r="62" spans="1:17" x14ac:dyDescent="0.25">
      <c r="A62" s="53" t="s">
        <v>60</v>
      </c>
      <c r="B62" s="54" t="s">
        <v>227</v>
      </c>
      <c r="C62" s="54" t="s">
        <v>178</v>
      </c>
      <c r="D62" s="54" t="s">
        <v>164</v>
      </c>
      <c r="E62" s="54">
        <v>11.606999999999999</v>
      </c>
      <c r="F62" s="54" t="s">
        <v>262</v>
      </c>
      <c r="G62" s="55">
        <v>3022218.3832057808</v>
      </c>
      <c r="H62" s="54">
        <v>1963</v>
      </c>
      <c r="I62" s="54" t="s">
        <v>268</v>
      </c>
      <c r="J62" s="54">
        <v>33.5</v>
      </c>
      <c r="K62" s="54">
        <v>3</v>
      </c>
      <c r="L62" s="56">
        <v>164.21901601839375</v>
      </c>
      <c r="M62" s="57">
        <v>16.178031503321797</v>
      </c>
      <c r="N62" s="54">
        <v>2019</v>
      </c>
      <c r="O62" s="56">
        <v>8995</v>
      </c>
      <c r="P62" s="58">
        <v>57.022926410072834</v>
      </c>
      <c r="Q62">
        <v>63</v>
      </c>
    </row>
    <row r="63" spans="1:17" x14ac:dyDescent="0.25">
      <c r="A63" s="53" t="s">
        <v>61</v>
      </c>
      <c r="B63" s="54" t="s">
        <v>227</v>
      </c>
      <c r="C63" s="54" t="s">
        <v>178</v>
      </c>
      <c r="D63" s="54" t="s">
        <v>163</v>
      </c>
      <c r="E63" s="54">
        <v>11.708</v>
      </c>
      <c r="F63" s="54" t="s">
        <v>241</v>
      </c>
      <c r="G63" s="55">
        <v>1072329.1732316932</v>
      </c>
      <c r="H63" s="54">
        <v>1991</v>
      </c>
      <c r="I63" s="54" t="s">
        <v>267</v>
      </c>
      <c r="J63" s="54">
        <v>23</v>
      </c>
      <c r="K63" s="54">
        <v>2</v>
      </c>
      <c r="L63" s="56">
        <v>64.885654993694445</v>
      </c>
      <c r="M63" s="57">
        <v>15.375536377356005</v>
      </c>
      <c r="N63" s="54">
        <v>2021</v>
      </c>
      <c r="O63" s="56">
        <v>2359</v>
      </c>
      <c r="P63" s="58">
        <v>47.19460318400737</v>
      </c>
      <c r="Q63">
        <v>35</v>
      </c>
    </row>
    <row r="64" spans="1:17" x14ac:dyDescent="0.25">
      <c r="A64" s="53" t="s">
        <v>62</v>
      </c>
      <c r="B64" s="54" t="s">
        <v>227</v>
      </c>
      <c r="C64" s="54" t="s">
        <v>178</v>
      </c>
      <c r="D64" s="54" t="s">
        <v>164</v>
      </c>
      <c r="E64" s="54">
        <v>12.051</v>
      </c>
      <c r="F64" s="54" t="s">
        <v>269</v>
      </c>
      <c r="G64" s="55">
        <v>914613.98599370837</v>
      </c>
      <c r="H64" s="54">
        <v>1958</v>
      </c>
      <c r="I64" s="54" t="s">
        <v>270</v>
      </c>
      <c r="J64" s="54">
        <v>18.3</v>
      </c>
      <c r="K64" s="54">
        <v>2</v>
      </c>
      <c r="L64" s="56">
        <v>44.025481842813193</v>
      </c>
      <c r="M64" s="57">
        <v>17.994509595854574</v>
      </c>
      <c r="N64" s="54">
        <v>2017</v>
      </c>
      <c r="O64" s="56">
        <v>12890</v>
      </c>
      <c r="P64" s="58">
        <v>50.113263584891577</v>
      </c>
      <c r="Q64">
        <v>68</v>
      </c>
    </row>
    <row r="65" spans="1:17" x14ac:dyDescent="0.25">
      <c r="A65" s="53" t="s">
        <v>63</v>
      </c>
      <c r="B65" s="54" t="s">
        <v>227</v>
      </c>
      <c r="C65" s="54" t="s">
        <v>179</v>
      </c>
      <c r="D65" s="54" t="s">
        <v>163</v>
      </c>
      <c r="E65" s="54">
        <v>27.173999999999999</v>
      </c>
      <c r="F65" s="54" t="s">
        <v>262</v>
      </c>
      <c r="G65" s="55">
        <v>401052.92224085267</v>
      </c>
      <c r="H65" s="54">
        <v>1958</v>
      </c>
      <c r="I65" s="54" t="s">
        <v>271</v>
      </c>
      <c r="J65" s="54">
        <v>26.5</v>
      </c>
      <c r="K65" s="54">
        <v>1</v>
      </c>
      <c r="L65" s="56">
        <v>28.163237218195626</v>
      </c>
      <c r="M65" s="57">
        <v>12.055912614273392</v>
      </c>
      <c r="N65" s="54">
        <v>2021</v>
      </c>
      <c r="O65" s="56">
        <v>10563</v>
      </c>
      <c r="P65" s="58">
        <v>54.018687111509742</v>
      </c>
      <c r="Q65">
        <v>68</v>
      </c>
    </row>
    <row r="66" spans="1:17" x14ac:dyDescent="0.25">
      <c r="A66" s="53" t="s">
        <v>64</v>
      </c>
      <c r="B66" s="54" t="s">
        <v>227</v>
      </c>
      <c r="C66" s="54" t="s">
        <v>179</v>
      </c>
      <c r="D66" s="54" t="s">
        <v>164</v>
      </c>
      <c r="E66" s="54">
        <v>27.091999999999999</v>
      </c>
      <c r="F66" s="54" t="s">
        <v>262</v>
      </c>
      <c r="G66" s="55">
        <v>939676.94248057855</v>
      </c>
      <c r="H66" s="54">
        <v>1961</v>
      </c>
      <c r="I66" s="54" t="s">
        <v>271</v>
      </c>
      <c r="J66" s="54">
        <v>26.5</v>
      </c>
      <c r="K66" s="54">
        <v>1</v>
      </c>
      <c r="L66" s="56">
        <v>49.138141997980341</v>
      </c>
      <c r="M66" s="57">
        <v>16.004273279745362</v>
      </c>
      <c r="N66" s="54">
        <v>2019</v>
      </c>
      <c r="O66" s="56">
        <v>4399</v>
      </c>
      <c r="P66" s="58">
        <v>60.675077400975432</v>
      </c>
      <c r="Q66">
        <v>65</v>
      </c>
    </row>
    <row r="67" spans="1:17" x14ac:dyDescent="0.25">
      <c r="A67" s="53" t="s">
        <v>65</v>
      </c>
      <c r="B67" s="54" t="s">
        <v>227</v>
      </c>
      <c r="C67" s="54" t="s">
        <v>208</v>
      </c>
      <c r="D67" s="54" t="s">
        <v>165</v>
      </c>
      <c r="E67" s="54">
        <v>21.39</v>
      </c>
      <c r="F67" s="54" t="s">
        <v>241</v>
      </c>
      <c r="G67" s="55">
        <v>596781.07998104359</v>
      </c>
      <c r="H67" s="54">
        <v>1999</v>
      </c>
      <c r="I67" s="54" t="s">
        <v>244</v>
      </c>
      <c r="J67" s="54">
        <v>14</v>
      </c>
      <c r="K67" s="54">
        <v>1</v>
      </c>
      <c r="L67" s="56">
        <v>27.591964381234259</v>
      </c>
      <c r="M67" s="57">
        <v>20.567286523321648</v>
      </c>
      <c r="N67" s="54">
        <v>2021</v>
      </c>
      <c r="O67" s="56">
        <v>9857</v>
      </c>
      <c r="P67" s="58">
        <v>54.452179581741973</v>
      </c>
      <c r="Q67">
        <v>27</v>
      </c>
    </row>
    <row r="68" spans="1:17" x14ac:dyDescent="0.25">
      <c r="A68" s="53" t="s">
        <v>66</v>
      </c>
      <c r="B68" s="54" t="s">
        <v>228</v>
      </c>
      <c r="C68" s="54" t="s">
        <v>208</v>
      </c>
      <c r="D68" s="54" t="s">
        <v>165</v>
      </c>
      <c r="E68" s="54">
        <v>10.91</v>
      </c>
      <c r="F68" s="54" t="s">
        <v>262</v>
      </c>
      <c r="G68" s="55">
        <v>142348.20676542699</v>
      </c>
      <c r="H68" s="54">
        <v>1980</v>
      </c>
      <c r="I68" s="54" t="s">
        <v>247</v>
      </c>
      <c r="J68" s="54">
        <v>8.5</v>
      </c>
      <c r="K68" s="54">
        <v>1</v>
      </c>
      <c r="L68" s="56">
        <v>15.818030394315493</v>
      </c>
      <c r="M68" s="57">
        <v>8.5101435016957225</v>
      </c>
      <c r="N68" s="54">
        <v>2020</v>
      </c>
      <c r="O68" s="56">
        <v>12626</v>
      </c>
      <c r="P68" s="58">
        <v>43.639829347735059</v>
      </c>
      <c r="Q68">
        <v>46</v>
      </c>
    </row>
    <row r="69" spans="1:17" x14ac:dyDescent="0.25">
      <c r="A69" s="53" t="s">
        <v>67</v>
      </c>
      <c r="B69" s="54" t="s">
        <v>227</v>
      </c>
      <c r="C69" s="54" t="s">
        <v>174</v>
      </c>
      <c r="D69" s="54" t="s">
        <v>165</v>
      </c>
      <c r="E69" s="54">
        <v>10.489000000000001</v>
      </c>
      <c r="F69" s="54" t="s">
        <v>264</v>
      </c>
      <c r="G69" s="55">
        <v>2123311.0902072126</v>
      </c>
      <c r="H69" s="54">
        <v>1979</v>
      </c>
      <c r="I69" s="54" t="s">
        <v>274</v>
      </c>
      <c r="J69" s="54">
        <v>15.2</v>
      </c>
      <c r="K69" s="54">
        <v>3</v>
      </c>
      <c r="L69" s="56">
        <v>88.863378654727356</v>
      </c>
      <c r="M69" s="57">
        <v>22.646980761800524</v>
      </c>
      <c r="N69" s="54">
        <v>2019</v>
      </c>
      <c r="O69" s="56">
        <v>7507</v>
      </c>
      <c r="P69" s="58">
        <v>49.233245637487983</v>
      </c>
      <c r="Q69">
        <v>47</v>
      </c>
    </row>
    <row r="70" spans="1:17" x14ac:dyDescent="0.25">
      <c r="A70" s="53" t="s">
        <v>68</v>
      </c>
      <c r="B70" s="54" t="s">
        <v>228</v>
      </c>
      <c r="C70" s="54" t="s">
        <v>208</v>
      </c>
      <c r="D70" s="54" t="s">
        <v>165</v>
      </c>
      <c r="E70" s="54">
        <v>4.0709999999999997</v>
      </c>
      <c r="F70" s="54" t="s">
        <v>262</v>
      </c>
      <c r="G70" s="55">
        <v>50275.301704729834</v>
      </c>
      <c r="H70" s="54">
        <v>1938</v>
      </c>
      <c r="I70" s="54" t="s">
        <v>246</v>
      </c>
      <c r="J70" s="54">
        <v>2.9</v>
      </c>
      <c r="K70" s="54">
        <v>1</v>
      </c>
      <c r="L70" s="56">
        <v>5.5741314437233394</v>
      </c>
      <c r="M70" s="57">
        <v>7.6656477208357234</v>
      </c>
      <c r="N70" s="54">
        <v>2020</v>
      </c>
      <c r="O70" s="56">
        <v>11882</v>
      </c>
      <c r="P70" s="58">
        <v>51.582043192663036</v>
      </c>
      <c r="Q70">
        <v>88</v>
      </c>
    </row>
    <row r="71" spans="1:17" x14ac:dyDescent="0.25">
      <c r="A71" s="53" t="s">
        <v>69</v>
      </c>
      <c r="B71" s="54" t="s">
        <v>228</v>
      </c>
      <c r="C71" s="54" t="s">
        <v>208</v>
      </c>
      <c r="D71" s="54" t="s">
        <v>165</v>
      </c>
      <c r="E71" s="54">
        <v>1.377</v>
      </c>
      <c r="F71" s="54" t="s">
        <v>266</v>
      </c>
      <c r="G71" s="55">
        <v>61579.453662451138</v>
      </c>
      <c r="H71" s="54">
        <v>1940</v>
      </c>
      <c r="I71" s="54" t="s">
        <v>246</v>
      </c>
      <c r="J71" s="54">
        <v>3</v>
      </c>
      <c r="K71" s="54">
        <v>1</v>
      </c>
      <c r="L71" s="56">
        <v>4.8004264444966083</v>
      </c>
      <c r="M71" s="57">
        <v>10.98289382405793</v>
      </c>
      <c r="N71" s="54">
        <v>2019</v>
      </c>
      <c r="O71" s="56">
        <v>4425</v>
      </c>
      <c r="P71" s="58">
        <v>57.03202688375017</v>
      </c>
      <c r="Q71">
        <v>86</v>
      </c>
    </row>
    <row r="72" spans="1:17" x14ac:dyDescent="0.25">
      <c r="A72" s="53" t="s">
        <v>70</v>
      </c>
      <c r="B72" s="54" t="s">
        <v>228</v>
      </c>
      <c r="C72" s="54" t="s">
        <v>170</v>
      </c>
      <c r="D72" s="54" t="s">
        <v>164</v>
      </c>
      <c r="E72" s="54">
        <v>26.538</v>
      </c>
      <c r="F72" s="54" t="s">
        <v>269</v>
      </c>
      <c r="G72" s="55">
        <v>386055.72817270464</v>
      </c>
      <c r="H72" s="54">
        <v>1979</v>
      </c>
      <c r="I72" s="54" t="s">
        <v>240</v>
      </c>
      <c r="J72" s="54">
        <v>10.7</v>
      </c>
      <c r="K72" s="54">
        <v>1</v>
      </c>
      <c r="L72" s="56">
        <v>16.750838664223032</v>
      </c>
      <c r="M72" s="57">
        <v>21.440740032202335</v>
      </c>
      <c r="N72" s="54">
        <v>2019</v>
      </c>
      <c r="O72" s="56">
        <v>10823</v>
      </c>
      <c r="P72" s="58">
        <v>47.614735450087352</v>
      </c>
      <c r="Q72">
        <v>47</v>
      </c>
    </row>
    <row r="73" spans="1:17" x14ac:dyDescent="0.25">
      <c r="A73" s="53" t="s">
        <v>71</v>
      </c>
      <c r="B73" s="54" t="s">
        <v>227</v>
      </c>
      <c r="C73" s="54" t="s">
        <v>173</v>
      </c>
      <c r="D73" s="54" t="s">
        <v>165</v>
      </c>
      <c r="E73" s="54">
        <v>21.666</v>
      </c>
      <c r="F73" s="54" t="s">
        <v>241</v>
      </c>
      <c r="G73" s="55">
        <v>4655101.9920829823</v>
      </c>
      <c r="H73" s="54">
        <v>1980</v>
      </c>
      <c r="I73" s="54" t="s">
        <v>260</v>
      </c>
      <c r="J73" s="54">
        <v>66</v>
      </c>
      <c r="K73" s="54">
        <v>3</v>
      </c>
      <c r="L73" s="56">
        <v>309.39463405384117</v>
      </c>
      <c r="M73" s="57">
        <v>13.196595687496197</v>
      </c>
      <c r="N73" s="54">
        <v>2020</v>
      </c>
      <c r="O73" s="56">
        <v>13802</v>
      </c>
      <c r="P73" s="58">
        <v>50.054946093946391</v>
      </c>
      <c r="Q73">
        <v>46</v>
      </c>
    </row>
    <row r="74" spans="1:17" x14ac:dyDescent="0.25">
      <c r="A74" s="53" t="s">
        <v>72</v>
      </c>
      <c r="B74" s="54" t="s">
        <v>227</v>
      </c>
      <c r="C74" s="54" t="s">
        <v>173</v>
      </c>
      <c r="D74" s="54" t="s">
        <v>165</v>
      </c>
      <c r="E74" s="54">
        <v>10.317</v>
      </c>
      <c r="F74" s="54" t="s">
        <v>262</v>
      </c>
      <c r="G74" s="55">
        <v>4800541.8277066629</v>
      </c>
      <c r="H74" s="54">
        <v>1974</v>
      </c>
      <c r="I74" s="54" t="s">
        <v>272</v>
      </c>
      <c r="J74" s="54">
        <v>33.5</v>
      </c>
      <c r="K74" s="54">
        <v>5</v>
      </c>
      <c r="L74" s="56">
        <v>290.07644194707575</v>
      </c>
      <c r="M74" s="57">
        <v>16.511666473771022</v>
      </c>
      <c r="N74" s="54">
        <v>2017</v>
      </c>
      <c r="O74" s="56">
        <v>16226</v>
      </c>
      <c r="P74" s="58">
        <v>46.717370100374957</v>
      </c>
      <c r="Q74">
        <v>52</v>
      </c>
    </row>
    <row r="75" spans="1:17" x14ac:dyDescent="0.25">
      <c r="A75" s="53" t="s">
        <v>73</v>
      </c>
      <c r="B75" s="54" t="s">
        <v>227</v>
      </c>
      <c r="C75" s="54" t="s">
        <v>190</v>
      </c>
      <c r="D75" s="54" t="s">
        <v>165</v>
      </c>
      <c r="E75" s="54">
        <v>21.957999999999998</v>
      </c>
      <c r="F75" s="54" t="s">
        <v>241</v>
      </c>
      <c r="G75" s="55">
        <v>733076.67507324705</v>
      </c>
      <c r="H75" s="54">
        <v>1983</v>
      </c>
      <c r="I75" s="54" t="s">
        <v>243</v>
      </c>
      <c r="J75" s="54">
        <v>32</v>
      </c>
      <c r="K75" s="54">
        <v>1</v>
      </c>
      <c r="L75" s="56">
        <v>50.826322175405025</v>
      </c>
      <c r="M75" s="57">
        <v>13.133881142638812</v>
      </c>
      <c r="N75" s="54">
        <v>2017</v>
      </c>
      <c r="O75" s="56">
        <v>16738</v>
      </c>
      <c r="P75" s="58">
        <v>52.985005656163075</v>
      </c>
      <c r="Q75">
        <v>43</v>
      </c>
    </row>
    <row r="76" spans="1:17" x14ac:dyDescent="0.25">
      <c r="A76" s="53" t="s">
        <v>74</v>
      </c>
      <c r="B76" s="54" t="s">
        <v>227</v>
      </c>
      <c r="C76" s="54" t="s">
        <v>197</v>
      </c>
      <c r="D76" s="54" t="s">
        <v>165</v>
      </c>
      <c r="E76" s="54">
        <v>0</v>
      </c>
      <c r="F76" s="54" t="s">
        <v>262</v>
      </c>
      <c r="G76" s="55">
        <v>1036414.0953848937</v>
      </c>
      <c r="H76" s="54">
        <v>1989</v>
      </c>
      <c r="I76" s="54" t="s">
        <v>243</v>
      </c>
      <c r="J76" s="54">
        <v>42</v>
      </c>
      <c r="K76" s="54">
        <v>1</v>
      </c>
      <c r="L76" s="56">
        <v>46.382379326734487</v>
      </c>
      <c r="M76" s="57">
        <v>20.817090042122256</v>
      </c>
      <c r="N76" s="54">
        <v>2017</v>
      </c>
      <c r="O76" s="56">
        <v>8760</v>
      </c>
      <c r="P76" s="58">
        <v>46.595459533213848</v>
      </c>
      <c r="Q76">
        <v>37</v>
      </c>
    </row>
    <row r="77" spans="1:17" x14ac:dyDescent="0.25">
      <c r="A77" s="53" t="s">
        <v>75</v>
      </c>
      <c r="B77" s="54" t="s">
        <v>227</v>
      </c>
      <c r="C77" s="54" t="s">
        <v>223</v>
      </c>
      <c r="D77" s="54" t="s">
        <v>165</v>
      </c>
      <c r="E77" s="54">
        <v>39.796999999999997</v>
      </c>
      <c r="F77" s="54" t="s">
        <v>262</v>
      </c>
      <c r="G77" s="55">
        <v>635563.95165201311</v>
      </c>
      <c r="H77" s="54">
        <v>1953</v>
      </c>
      <c r="I77" s="54" t="s">
        <v>245</v>
      </c>
      <c r="J77" s="54">
        <v>15.2</v>
      </c>
      <c r="K77" s="54">
        <v>3</v>
      </c>
      <c r="L77" s="56">
        <v>54.783010708419084</v>
      </c>
      <c r="M77" s="57">
        <v>11.582193029745609</v>
      </c>
      <c r="N77" s="54">
        <v>2017</v>
      </c>
      <c r="O77" s="56">
        <v>7582</v>
      </c>
      <c r="P77" s="58">
        <v>50.33341752709228</v>
      </c>
      <c r="Q77">
        <v>73</v>
      </c>
    </row>
    <row r="78" spans="1:17" x14ac:dyDescent="0.25">
      <c r="A78" s="53" t="s">
        <v>76</v>
      </c>
      <c r="B78" s="54" t="s">
        <v>228</v>
      </c>
      <c r="C78" s="54" t="s">
        <v>172</v>
      </c>
      <c r="D78" s="54" t="s">
        <v>163</v>
      </c>
      <c r="E78" s="54">
        <v>39.83</v>
      </c>
      <c r="F78" s="54" t="s">
        <v>269</v>
      </c>
      <c r="G78" s="55">
        <v>1140158.3488769343</v>
      </c>
      <c r="H78" s="54">
        <v>1981</v>
      </c>
      <c r="I78" s="54" t="s">
        <v>240</v>
      </c>
      <c r="J78" s="54">
        <v>10.7</v>
      </c>
      <c r="K78" s="54">
        <v>4</v>
      </c>
      <c r="L78" s="56">
        <v>56.377416418867497</v>
      </c>
      <c r="M78" s="57">
        <v>18.02695959728241</v>
      </c>
      <c r="N78" s="54">
        <v>2017</v>
      </c>
      <c r="O78" s="56">
        <v>9422</v>
      </c>
      <c r="P78" s="58">
        <v>37.405210103186732</v>
      </c>
      <c r="Q78">
        <v>45</v>
      </c>
    </row>
    <row r="79" spans="1:17" x14ac:dyDescent="0.25">
      <c r="A79" s="53" t="s">
        <v>77</v>
      </c>
      <c r="B79" s="54" t="s">
        <v>228</v>
      </c>
      <c r="C79" s="54" t="s">
        <v>190</v>
      </c>
      <c r="D79" s="54" t="s">
        <v>165</v>
      </c>
      <c r="E79" s="54">
        <v>9.0779999999999994</v>
      </c>
      <c r="F79" s="54" t="s">
        <v>266</v>
      </c>
      <c r="G79" s="55">
        <v>708764.45245634648</v>
      </c>
      <c r="H79" s="54">
        <v>1971</v>
      </c>
      <c r="I79" s="54" t="s">
        <v>247</v>
      </c>
      <c r="J79" s="54">
        <v>8.5</v>
      </c>
      <c r="K79" s="54">
        <v>3</v>
      </c>
      <c r="L79" s="56">
        <v>29.830807756503315</v>
      </c>
      <c r="M79" s="57">
        <v>20.061735317631893</v>
      </c>
      <c r="N79" s="54">
        <v>2018</v>
      </c>
      <c r="O79" s="56">
        <v>13052</v>
      </c>
      <c r="P79" s="58">
        <v>48.410360281679623</v>
      </c>
      <c r="Q79">
        <v>55</v>
      </c>
    </row>
    <row r="80" spans="1:17" x14ac:dyDescent="0.25">
      <c r="A80" s="53" t="s">
        <v>78</v>
      </c>
      <c r="B80" s="54" t="s">
        <v>227</v>
      </c>
      <c r="C80" s="54" t="s">
        <v>211</v>
      </c>
      <c r="D80" s="54" t="s">
        <v>163</v>
      </c>
      <c r="E80" s="54">
        <v>28.454000000000001</v>
      </c>
      <c r="F80" s="54" t="s">
        <v>269</v>
      </c>
      <c r="G80" s="55">
        <v>1733379.9034312014</v>
      </c>
      <c r="H80" s="54">
        <v>1993</v>
      </c>
      <c r="I80" s="54" t="s">
        <v>244</v>
      </c>
      <c r="J80" s="54">
        <v>14</v>
      </c>
      <c r="K80" s="54">
        <v>3</v>
      </c>
      <c r="L80" s="56">
        <v>70.094990270699043</v>
      </c>
      <c r="M80" s="57">
        <v>24.067177853967181</v>
      </c>
      <c r="N80" s="54">
        <v>2020</v>
      </c>
      <c r="O80" s="56">
        <v>6852</v>
      </c>
      <c r="P80" s="58">
        <v>50.155847115037169</v>
      </c>
      <c r="Q80">
        <v>33</v>
      </c>
    </row>
    <row r="81" spans="1:17" x14ac:dyDescent="0.25">
      <c r="A81" s="53" t="s">
        <v>79</v>
      </c>
      <c r="B81" s="54" t="s">
        <v>227</v>
      </c>
      <c r="C81" s="54" t="s">
        <v>211</v>
      </c>
      <c r="D81" s="54" t="s">
        <v>164</v>
      </c>
      <c r="E81" s="54">
        <v>28.431000000000001</v>
      </c>
      <c r="F81" s="54" t="s">
        <v>269</v>
      </c>
      <c r="G81" s="55">
        <v>1723875.7994139662</v>
      </c>
      <c r="H81" s="54">
        <v>1994</v>
      </c>
      <c r="I81" s="54" t="s">
        <v>244</v>
      </c>
      <c r="J81" s="54">
        <v>14</v>
      </c>
      <c r="K81" s="54">
        <v>3</v>
      </c>
      <c r="L81" s="56">
        <v>70.703494384065266</v>
      </c>
      <c r="M81" s="57">
        <v>21.144158039837546</v>
      </c>
      <c r="N81" s="54">
        <v>2021</v>
      </c>
      <c r="O81" s="56">
        <v>14342</v>
      </c>
      <c r="P81" s="58">
        <v>51.834718505815424</v>
      </c>
      <c r="Q81">
        <v>32</v>
      </c>
    </row>
    <row r="82" spans="1:17" x14ac:dyDescent="0.25">
      <c r="A82" s="53" t="s">
        <v>80</v>
      </c>
      <c r="B82" s="54" t="s">
        <v>227</v>
      </c>
      <c r="C82" s="54" t="s">
        <v>180</v>
      </c>
      <c r="D82" s="54" t="s">
        <v>163</v>
      </c>
      <c r="E82" s="54">
        <v>17.122</v>
      </c>
      <c r="F82" s="54" t="s">
        <v>241</v>
      </c>
      <c r="G82" s="55">
        <v>2343783.222424122</v>
      </c>
      <c r="H82" s="54">
        <v>1983</v>
      </c>
      <c r="I82" s="54" t="s">
        <v>260</v>
      </c>
      <c r="J82" s="54">
        <v>38</v>
      </c>
      <c r="K82" s="54">
        <v>4</v>
      </c>
      <c r="L82" s="56">
        <v>142.05794490851821</v>
      </c>
      <c r="M82" s="57">
        <v>13.902623490354765</v>
      </c>
      <c r="N82" s="54">
        <v>2020</v>
      </c>
      <c r="O82" s="56">
        <v>17235</v>
      </c>
      <c r="P82" s="58">
        <v>45.071530711279259</v>
      </c>
      <c r="Q82">
        <v>43</v>
      </c>
    </row>
    <row r="83" spans="1:17" x14ac:dyDescent="0.25">
      <c r="A83" s="53" t="s">
        <v>81</v>
      </c>
      <c r="B83" s="54" t="s">
        <v>227</v>
      </c>
      <c r="C83" s="54" t="s">
        <v>180</v>
      </c>
      <c r="D83" s="54" t="s">
        <v>164</v>
      </c>
      <c r="E83" s="54">
        <v>7.9189999999999996</v>
      </c>
      <c r="F83" s="54" t="s">
        <v>241</v>
      </c>
      <c r="G83" s="55">
        <v>4152547.5304502752</v>
      </c>
      <c r="H83" s="54">
        <v>1994</v>
      </c>
      <c r="I83" s="54" t="s">
        <v>260</v>
      </c>
      <c r="J83" s="54">
        <v>36.6</v>
      </c>
      <c r="K83" s="54">
        <v>4</v>
      </c>
      <c r="L83" s="56">
        <v>222.13232933960009</v>
      </c>
      <c r="M83" s="57">
        <v>17.003680018177842</v>
      </c>
      <c r="N83" s="54">
        <v>2021</v>
      </c>
      <c r="O83" s="56">
        <v>18798</v>
      </c>
      <c r="P83" s="58">
        <v>55.65264263046425</v>
      </c>
      <c r="Q83">
        <v>32</v>
      </c>
    </row>
    <row r="84" spans="1:17" x14ac:dyDescent="0.25">
      <c r="A84" s="53" t="s">
        <v>82</v>
      </c>
      <c r="B84" s="54" t="s">
        <v>227</v>
      </c>
      <c r="C84" s="54" t="s">
        <v>202</v>
      </c>
      <c r="D84" s="54" t="s">
        <v>165</v>
      </c>
      <c r="E84" s="54">
        <v>10.769</v>
      </c>
      <c r="F84" s="54" t="s">
        <v>241</v>
      </c>
      <c r="G84" s="55">
        <v>1179631.8075396237</v>
      </c>
      <c r="H84" s="54">
        <v>1988</v>
      </c>
      <c r="I84" s="54" t="s">
        <v>243</v>
      </c>
      <c r="J84" s="54">
        <v>28</v>
      </c>
      <c r="K84" s="54">
        <v>2</v>
      </c>
      <c r="L84" s="56">
        <v>59.862615181477175</v>
      </c>
      <c r="M84" s="57">
        <v>19.148780705735351</v>
      </c>
      <c r="N84" s="54">
        <v>2021</v>
      </c>
      <c r="O84" s="56">
        <v>4959</v>
      </c>
      <c r="P84" s="58">
        <v>53.870451886745876</v>
      </c>
      <c r="Q84">
        <v>38</v>
      </c>
    </row>
    <row r="85" spans="1:17" x14ac:dyDescent="0.25">
      <c r="A85" s="53" t="s">
        <v>83</v>
      </c>
      <c r="B85" s="54" t="s">
        <v>227</v>
      </c>
      <c r="C85" s="54" t="s">
        <v>187</v>
      </c>
      <c r="D85" s="54" t="s">
        <v>165</v>
      </c>
      <c r="E85" s="54">
        <v>39.875</v>
      </c>
      <c r="F85" s="54" t="s">
        <v>276</v>
      </c>
      <c r="G85" s="54">
        <v>310407.48618233349</v>
      </c>
      <c r="H85" s="54">
        <v>1965</v>
      </c>
      <c r="I85" s="54" t="s">
        <v>252</v>
      </c>
      <c r="J85" s="54">
        <v>15.2</v>
      </c>
      <c r="K85" s="54">
        <v>3</v>
      </c>
      <c r="L85" s="56">
        <v>43.400409819449706</v>
      </c>
      <c r="M85" s="57">
        <v>6.195407167276203</v>
      </c>
      <c r="N85" s="54">
        <v>2017</v>
      </c>
      <c r="O85" s="56">
        <v>3001</v>
      </c>
      <c r="P85" s="58">
        <v>41.878781822212595</v>
      </c>
      <c r="Q85">
        <v>61</v>
      </c>
    </row>
    <row r="86" spans="1:17" x14ac:dyDescent="0.25">
      <c r="A86" s="53" t="s">
        <v>84</v>
      </c>
      <c r="B86" s="54" t="s">
        <v>227</v>
      </c>
      <c r="C86" s="54" t="s">
        <v>177</v>
      </c>
      <c r="D86" s="54" t="s">
        <v>165</v>
      </c>
      <c r="E86" s="54">
        <v>60.908999999999999</v>
      </c>
      <c r="F86" s="54" t="s">
        <v>241</v>
      </c>
      <c r="G86" s="54">
        <v>2410608.3017189084</v>
      </c>
      <c r="H86" s="54">
        <v>1962</v>
      </c>
      <c r="I86" s="54" t="s">
        <v>265</v>
      </c>
      <c r="J86" s="54">
        <v>24.4</v>
      </c>
      <c r="K86" s="54">
        <v>3</v>
      </c>
      <c r="L86" s="56">
        <v>82.926857789025973</v>
      </c>
      <c r="M86" s="57">
        <v>25.467278595534623</v>
      </c>
      <c r="N86" s="54">
        <v>2018</v>
      </c>
      <c r="O86" s="56">
        <v>2299</v>
      </c>
      <c r="P86" s="58">
        <v>45.594379954582145</v>
      </c>
      <c r="Q86">
        <v>64</v>
      </c>
    </row>
    <row r="87" spans="1:17" x14ac:dyDescent="0.25">
      <c r="A87" s="53" t="s">
        <v>85</v>
      </c>
      <c r="B87" s="54" t="s">
        <v>227</v>
      </c>
      <c r="C87" s="54" t="s">
        <v>180</v>
      </c>
      <c r="D87" s="54" t="s">
        <v>163</v>
      </c>
      <c r="E87" s="54">
        <v>11.836</v>
      </c>
      <c r="F87" s="54" t="s">
        <v>262</v>
      </c>
      <c r="G87" s="54">
        <v>2379421.5787225873</v>
      </c>
      <c r="H87" s="54">
        <v>2003</v>
      </c>
      <c r="I87" s="54" t="s">
        <v>260</v>
      </c>
      <c r="J87" s="54">
        <v>35</v>
      </c>
      <c r="K87" s="54">
        <v>3</v>
      </c>
      <c r="L87" s="56">
        <v>122.94444299635464</v>
      </c>
      <c r="M87" s="57">
        <v>16.810909898893534</v>
      </c>
      <c r="N87" s="54">
        <v>2021</v>
      </c>
      <c r="O87" s="56">
        <v>15744</v>
      </c>
      <c r="P87" s="58">
        <v>55.305740066155948</v>
      </c>
      <c r="Q87">
        <v>23</v>
      </c>
    </row>
    <row r="88" spans="1:17" x14ac:dyDescent="0.25">
      <c r="A88" s="53" t="s">
        <v>86</v>
      </c>
      <c r="B88" s="54" t="s">
        <v>227</v>
      </c>
      <c r="C88" s="54" t="s">
        <v>180</v>
      </c>
      <c r="D88" s="54" t="s">
        <v>164</v>
      </c>
      <c r="E88" s="54">
        <v>2.6080000000000001</v>
      </c>
      <c r="F88" s="54" t="s">
        <v>262</v>
      </c>
      <c r="G88" s="54">
        <v>3458489.6363846576</v>
      </c>
      <c r="H88" s="54">
        <v>1965</v>
      </c>
      <c r="I88" s="54" t="s">
        <v>268</v>
      </c>
      <c r="J88" s="54">
        <v>25</v>
      </c>
      <c r="K88" s="54">
        <v>4</v>
      </c>
      <c r="L88" s="56">
        <v>126.01826019061373</v>
      </c>
      <c r="M88" s="57">
        <v>24.453686187163452</v>
      </c>
      <c r="N88" s="54">
        <v>2019</v>
      </c>
      <c r="O88" s="56">
        <v>10781</v>
      </c>
      <c r="P88" s="58">
        <v>52.969238448056593</v>
      </c>
      <c r="Q88">
        <v>61</v>
      </c>
    </row>
    <row r="89" spans="1:17" x14ac:dyDescent="0.25">
      <c r="A89" s="53" t="s">
        <v>87</v>
      </c>
      <c r="B89" s="54" t="s">
        <v>228</v>
      </c>
      <c r="C89" s="54" t="s">
        <v>224</v>
      </c>
      <c r="D89" s="54" t="s">
        <v>165</v>
      </c>
      <c r="E89" s="54">
        <v>15.204000000000001</v>
      </c>
      <c r="F89" s="54" t="s">
        <v>266</v>
      </c>
      <c r="G89" s="54">
        <v>44744.264739635</v>
      </c>
      <c r="H89" s="54">
        <v>1949</v>
      </c>
      <c r="I89" s="54" t="s">
        <v>246</v>
      </c>
      <c r="J89" s="54">
        <v>1.8</v>
      </c>
      <c r="K89" s="54">
        <v>1</v>
      </c>
      <c r="L89" s="56">
        <v>3.4649720907004609</v>
      </c>
      <c r="M89" s="57">
        <v>12.7027999203987</v>
      </c>
      <c r="N89" s="54">
        <v>2017</v>
      </c>
      <c r="O89" s="56">
        <v>2100</v>
      </c>
      <c r="P89" s="58">
        <v>58.485850948895951</v>
      </c>
      <c r="Q89">
        <v>77</v>
      </c>
    </row>
    <row r="90" spans="1:17" x14ac:dyDescent="0.25">
      <c r="A90" s="53" t="s">
        <v>88</v>
      </c>
      <c r="B90" s="54" t="s">
        <v>228</v>
      </c>
      <c r="C90" s="54" t="s">
        <v>220</v>
      </c>
      <c r="D90" s="54" t="s">
        <v>165</v>
      </c>
      <c r="E90" s="54">
        <v>15.842000000000001</v>
      </c>
      <c r="F90" s="54" t="s">
        <v>262</v>
      </c>
      <c r="G90" s="54">
        <v>135373.91518228239</v>
      </c>
      <c r="H90" s="54">
        <v>1996</v>
      </c>
      <c r="I90" s="54" t="s">
        <v>239</v>
      </c>
      <c r="J90" s="54">
        <v>6</v>
      </c>
      <c r="K90" s="54">
        <v>1</v>
      </c>
      <c r="L90" s="56">
        <v>9.6072504165758303</v>
      </c>
      <c r="M90" s="57">
        <v>13.656773138264459</v>
      </c>
      <c r="N90" s="54">
        <v>2021</v>
      </c>
      <c r="O90" s="56">
        <v>17630</v>
      </c>
      <c r="P90" s="58">
        <v>53.320259346805408</v>
      </c>
      <c r="Q90">
        <v>30</v>
      </c>
    </row>
    <row r="91" spans="1:17" x14ac:dyDescent="0.25">
      <c r="A91" s="53" t="s">
        <v>89</v>
      </c>
      <c r="B91" s="54" t="s">
        <v>227</v>
      </c>
      <c r="C91" s="54" t="s">
        <v>212</v>
      </c>
      <c r="D91" s="54" t="s">
        <v>165</v>
      </c>
      <c r="E91" s="54">
        <v>20.34</v>
      </c>
      <c r="F91" s="54" t="s">
        <v>262</v>
      </c>
      <c r="G91" s="54">
        <v>2775439.0001021791</v>
      </c>
      <c r="H91" s="54">
        <v>1958</v>
      </c>
      <c r="I91" s="54" t="s">
        <v>268</v>
      </c>
      <c r="J91" s="54">
        <v>35.1</v>
      </c>
      <c r="K91" s="54">
        <v>8</v>
      </c>
      <c r="L91" s="56">
        <v>261.43042799043621</v>
      </c>
      <c r="M91" s="57">
        <v>9.3560845524260312</v>
      </c>
      <c r="N91" s="54">
        <v>2018</v>
      </c>
      <c r="O91" s="56">
        <v>18119</v>
      </c>
      <c r="P91" s="58">
        <v>60.626235752104321</v>
      </c>
      <c r="Q91">
        <v>68</v>
      </c>
    </row>
    <row r="92" spans="1:17" x14ac:dyDescent="0.25">
      <c r="A92" s="53" t="s">
        <v>90</v>
      </c>
      <c r="B92" s="54" t="s">
        <v>228</v>
      </c>
      <c r="C92" s="54" t="s">
        <v>212</v>
      </c>
      <c r="D92" s="54" t="s">
        <v>165</v>
      </c>
      <c r="E92" s="54">
        <v>38.231000000000002</v>
      </c>
      <c r="F92" s="54" t="s">
        <v>269</v>
      </c>
      <c r="G92" s="54">
        <v>719379.74848566833</v>
      </c>
      <c r="H92" s="54">
        <v>1982</v>
      </c>
      <c r="I92" s="54" t="s">
        <v>240</v>
      </c>
      <c r="J92" s="54">
        <v>9.1</v>
      </c>
      <c r="K92" s="54">
        <v>3</v>
      </c>
      <c r="L92" s="56">
        <v>47.248472884916779</v>
      </c>
      <c r="M92" s="57">
        <v>13.708232964879684</v>
      </c>
      <c r="N92" s="54">
        <v>2020</v>
      </c>
      <c r="O92" s="56">
        <v>8054</v>
      </c>
      <c r="P92" s="58">
        <v>43.994921184676592</v>
      </c>
      <c r="Q92">
        <v>44</v>
      </c>
    </row>
    <row r="93" spans="1:17" x14ac:dyDescent="0.25">
      <c r="A93" s="53" t="s">
        <v>91</v>
      </c>
      <c r="B93" s="54" t="s">
        <v>228</v>
      </c>
      <c r="C93" s="54" t="s">
        <v>223</v>
      </c>
      <c r="D93" s="54" t="s">
        <v>165</v>
      </c>
      <c r="E93" s="54">
        <v>43.064</v>
      </c>
      <c r="F93" s="54" t="s">
        <v>266</v>
      </c>
      <c r="G93" s="54">
        <v>49228.058433110418</v>
      </c>
      <c r="H93" s="54">
        <v>1948</v>
      </c>
      <c r="I93" s="54" t="s">
        <v>246</v>
      </c>
      <c r="J93" s="54">
        <v>2</v>
      </c>
      <c r="K93" s="54">
        <v>1</v>
      </c>
      <c r="L93" s="56">
        <v>2.6342788940730077</v>
      </c>
      <c r="M93" s="57">
        <v>16.139593641535349</v>
      </c>
      <c r="N93" s="54">
        <v>2019</v>
      </c>
      <c r="O93" s="56">
        <v>6893</v>
      </c>
      <c r="P93" s="58">
        <v>43.36683093293626</v>
      </c>
      <c r="Q93">
        <v>78</v>
      </c>
    </row>
    <row r="94" spans="1:17" x14ac:dyDescent="0.25">
      <c r="A94" s="53" t="s">
        <v>92</v>
      </c>
      <c r="B94" s="54" t="s">
        <v>227</v>
      </c>
      <c r="C94" s="54" t="s">
        <v>213</v>
      </c>
      <c r="D94" s="54" t="s">
        <v>165</v>
      </c>
      <c r="E94" s="54">
        <v>38.654000000000003</v>
      </c>
      <c r="F94" s="54" t="s">
        <v>264</v>
      </c>
      <c r="G94" s="54">
        <v>2600623.2398340004</v>
      </c>
      <c r="H94" s="54">
        <v>1966</v>
      </c>
      <c r="I94" s="54" t="s">
        <v>271</v>
      </c>
      <c r="J94" s="54">
        <v>19.8</v>
      </c>
      <c r="K94" s="54">
        <v>3</v>
      </c>
      <c r="L94" s="56">
        <v>111.98144712839648</v>
      </c>
      <c r="M94" s="57">
        <v>19.37247091580489</v>
      </c>
      <c r="N94" s="54">
        <v>2021</v>
      </c>
      <c r="O94" s="56">
        <v>15603</v>
      </c>
      <c r="P94" s="58">
        <v>62.106995016662495</v>
      </c>
      <c r="Q94">
        <v>60</v>
      </c>
    </row>
    <row r="95" spans="1:17" x14ac:dyDescent="0.25">
      <c r="A95" s="53" t="s">
        <v>93</v>
      </c>
      <c r="B95" s="54" t="s">
        <v>227</v>
      </c>
      <c r="C95" s="54" t="s">
        <v>179</v>
      </c>
      <c r="D95" s="54" t="s">
        <v>163</v>
      </c>
      <c r="E95" s="54">
        <v>31.64</v>
      </c>
      <c r="F95" s="54" t="s">
        <v>264</v>
      </c>
      <c r="G95" s="54">
        <v>1389660.8568810564</v>
      </c>
      <c r="H95" s="54">
        <v>1961</v>
      </c>
      <c r="I95" s="54" t="s">
        <v>271</v>
      </c>
      <c r="J95" s="54">
        <v>23.2</v>
      </c>
      <c r="K95" s="54">
        <v>3</v>
      </c>
      <c r="L95" s="56">
        <v>80.558097441778045</v>
      </c>
      <c r="M95" s="57">
        <v>14.65745902336487</v>
      </c>
      <c r="N95" s="54">
        <v>2017</v>
      </c>
      <c r="O95" s="56">
        <v>10662</v>
      </c>
      <c r="P95" s="58">
        <v>54.81652088967391</v>
      </c>
      <c r="Q95">
        <v>65</v>
      </c>
    </row>
    <row r="96" spans="1:17" x14ac:dyDescent="0.25">
      <c r="A96" s="53" t="s">
        <v>94</v>
      </c>
      <c r="B96" s="54" t="s">
        <v>227</v>
      </c>
      <c r="C96" s="54" t="s">
        <v>179</v>
      </c>
      <c r="D96" s="54" t="s">
        <v>164</v>
      </c>
      <c r="E96" s="54">
        <v>31.6</v>
      </c>
      <c r="F96" s="54" t="s">
        <v>241</v>
      </c>
      <c r="G96" s="54">
        <v>1565196.7420617221</v>
      </c>
      <c r="H96" s="54">
        <v>1959</v>
      </c>
      <c r="I96" s="54" t="s">
        <v>271</v>
      </c>
      <c r="J96" s="54">
        <v>23.2</v>
      </c>
      <c r="K96" s="54">
        <v>3</v>
      </c>
      <c r="L96" s="56">
        <v>83.645022014082429</v>
      </c>
      <c r="M96" s="57">
        <v>18.052494635541894</v>
      </c>
      <c r="N96" s="54">
        <v>2021</v>
      </c>
      <c r="O96" s="56">
        <v>7353</v>
      </c>
      <c r="P96" s="58">
        <v>56.77573634498939</v>
      </c>
      <c r="Q96">
        <v>67</v>
      </c>
    </row>
    <row r="97" spans="1:17" x14ac:dyDescent="0.25">
      <c r="A97" s="53" t="s">
        <v>95</v>
      </c>
      <c r="B97" s="54" t="s">
        <v>227</v>
      </c>
      <c r="C97" s="54" t="s">
        <v>198</v>
      </c>
      <c r="D97" s="54" t="s">
        <v>164</v>
      </c>
      <c r="E97" s="54">
        <v>0.49399999999999999</v>
      </c>
      <c r="F97" s="54" t="s">
        <v>259</v>
      </c>
      <c r="G97" s="54">
        <v>5451789.8438563421</v>
      </c>
      <c r="H97" s="54">
        <v>1975</v>
      </c>
      <c r="I97" s="54" t="s">
        <v>261</v>
      </c>
      <c r="J97" s="54">
        <v>29</v>
      </c>
      <c r="K97" s="54">
        <v>3</v>
      </c>
      <c r="L97" s="56">
        <v>131.56089458468296</v>
      </c>
      <c r="M97" s="57">
        <v>35.557486738563682</v>
      </c>
      <c r="N97" s="54">
        <v>2020</v>
      </c>
      <c r="O97" s="56">
        <v>6821</v>
      </c>
      <c r="P97" s="58">
        <v>50.584711886742781</v>
      </c>
      <c r="Q97">
        <v>51</v>
      </c>
    </row>
    <row r="98" spans="1:17" x14ac:dyDescent="0.25">
      <c r="A98" s="53" t="s">
        <v>96</v>
      </c>
      <c r="B98" s="54" t="s">
        <v>227</v>
      </c>
      <c r="C98" s="54" t="s">
        <v>214</v>
      </c>
      <c r="D98" s="54" t="s">
        <v>165</v>
      </c>
      <c r="E98" s="54">
        <v>23.417999999999999</v>
      </c>
      <c r="F98" s="54" t="s">
        <v>262</v>
      </c>
      <c r="G98" s="54">
        <v>966844.53008547809</v>
      </c>
      <c r="H98" s="54">
        <v>1959</v>
      </c>
      <c r="I98" s="54" t="s">
        <v>268</v>
      </c>
      <c r="J98" s="54">
        <v>18.3</v>
      </c>
      <c r="K98" s="54">
        <v>3</v>
      </c>
      <c r="L98" s="56">
        <v>64.986878087560655</v>
      </c>
      <c r="M98" s="57">
        <v>12.572255634631937</v>
      </c>
      <c r="N98" s="54">
        <v>2018</v>
      </c>
      <c r="O98" s="56">
        <v>8547</v>
      </c>
      <c r="P98" s="58">
        <v>57.060901057744502</v>
      </c>
      <c r="Q98">
        <v>67</v>
      </c>
    </row>
    <row r="99" spans="1:17" x14ac:dyDescent="0.25">
      <c r="A99" s="53" t="s">
        <v>97</v>
      </c>
      <c r="B99" s="54" t="s">
        <v>227</v>
      </c>
      <c r="C99" s="54" t="s">
        <v>184</v>
      </c>
      <c r="D99" s="54" t="s">
        <v>163</v>
      </c>
      <c r="E99" s="54">
        <v>25.29</v>
      </c>
      <c r="F99" s="54" t="s">
        <v>259</v>
      </c>
      <c r="G99" s="54">
        <v>1508536.1697173163</v>
      </c>
      <c r="H99" s="54">
        <v>1960</v>
      </c>
      <c r="I99" s="54" t="s">
        <v>275</v>
      </c>
      <c r="J99" s="54">
        <v>16.5</v>
      </c>
      <c r="K99" s="54">
        <v>3</v>
      </c>
      <c r="L99" s="56">
        <v>66.029646786409117</v>
      </c>
      <c r="M99" s="57">
        <v>19.761889199906463</v>
      </c>
      <c r="N99" s="54">
        <v>2018</v>
      </c>
      <c r="O99" s="56">
        <v>12727</v>
      </c>
      <c r="P99" s="58">
        <v>45.816011666683572</v>
      </c>
      <c r="Q99">
        <v>66</v>
      </c>
    </row>
    <row r="100" spans="1:17" x14ac:dyDescent="0.25">
      <c r="A100" s="53" t="s">
        <v>98</v>
      </c>
      <c r="B100" s="54" t="s">
        <v>227</v>
      </c>
      <c r="C100" s="54" t="s">
        <v>184</v>
      </c>
      <c r="D100" s="54" t="s">
        <v>163</v>
      </c>
      <c r="E100" s="54">
        <v>26.035</v>
      </c>
      <c r="F100" s="54" t="s">
        <v>259</v>
      </c>
      <c r="G100" s="54">
        <v>1215906.9599169267</v>
      </c>
      <c r="H100" s="54">
        <v>1963</v>
      </c>
      <c r="I100" s="54" t="s">
        <v>265</v>
      </c>
      <c r="J100" s="54">
        <v>14.2</v>
      </c>
      <c r="K100" s="54">
        <v>4</v>
      </c>
      <c r="L100" s="56">
        <v>94.862236700883187</v>
      </c>
      <c r="M100" s="57">
        <v>12.40267026614214</v>
      </c>
      <c r="N100" s="54">
        <v>2018</v>
      </c>
      <c r="O100" s="56">
        <v>3902</v>
      </c>
      <c r="P100" s="58">
        <v>62.794242899272035</v>
      </c>
      <c r="Q100">
        <v>63</v>
      </c>
    </row>
    <row r="101" spans="1:17" x14ac:dyDescent="0.25">
      <c r="A101" s="53" t="s">
        <v>99</v>
      </c>
      <c r="B101" s="54" t="s">
        <v>227</v>
      </c>
      <c r="C101" s="54" t="s">
        <v>184</v>
      </c>
      <c r="D101" s="54" t="s">
        <v>164</v>
      </c>
      <c r="E101" s="54">
        <v>25.914999999999999</v>
      </c>
      <c r="F101" s="54" t="s">
        <v>259</v>
      </c>
      <c r="G101" s="54">
        <v>2599226.3218906019</v>
      </c>
      <c r="H101" s="54">
        <v>1970</v>
      </c>
      <c r="I101" s="54" t="s">
        <v>265</v>
      </c>
      <c r="J101" s="54">
        <v>14.9</v>
      </c>
      <c r="K101" s="54">
        <v>4</v>
      </c>
      <c r="L101" s="56">
        <v>104.72219434065975</v>
      </c>
      <c r="M101" s="57">
        <v>21.523476615692353</v>
      </c>
      <c r="N101" s="54">
        <v>2020</v>
      </c>
      <c r="O101" s="56">
        <v>10054</v>
      </c>
      <c r="P101" s="58">
        <v>59.692969491856367</v>
      </c>
      <c r="Q101">
        <v>56</v>
      </c>
    </row>
    <row r="102" spans="1:17" x14ac:dyDescent="0.25">
      <c r="A102" s="53" t="s">
        <v>100</v>
      </c>
      <c r="B102" s="54" t="s">
        <v>227</v>
      </c>
      <c r="C102" s="54" t="s">
        <v>184</v>
      </c>
      <c r="D102" s="54" t="s">
        <v>164</v>
      </c>
      <c r="E102" s="54">
        <v>28.16</v>
      </c>
      <c r="F102" s="54" t="s">
        <v>241</v>
      </c>
      <c r="G102" s="54">
        <v>2021880.7385062848</v>
      </c>
      <c r="H102" s="54">
        <v>1987</v>
      </c>
      <c r="I102" s="54" t="s">
        <v>281</v>
      </c>
      <c r="J102" s="54">
        <v>36</v>
      </c>
      <c r="K102" s="54">
        <v>2</v>
      </c>
      <c r="L102" s="56">
        <v>96.2223089765818</v>
      </c>
      <c r="M102" s="57">
        <v>19.90185232483196</v>
      </c>
      <c r="N102" s="54">
        <v>2017</v>
      </c>
      <c r="O102" s="56">
        <v>1597</v>
      </c>
      <c r="P102" s="58">
        <v>47.82130228795959</v>
      </c>
      <c r="Q102">
        <v>39</v>
      </c>
    </row>
    <row r="103" spans="1:17" x14ac:dyDescent="0.25">
      <c r="A103" s="53" t="s">
        <v>101</v>
      </c>
      <c r="B103" s="54" t="s">
        <v>227</v>
      </c>
      <c r="C103" s="54" t="s">
        <v>184</v>
      </c>
      <c r="D103" s="54" t="s">
        <v>163</v>
      </c>
      <c r="E103" s="54">
        <v>30.861999999999998</v>
      </c>
      <c r="F103" s="54" t="s">
        <v>262</v>
      </c>
      <c r="G103" s="54">
        <v>5723179.3428403977</v>
      </c>
      <c r="H103" s="54">
        <v>1967</v>
      </c>
      <c r="I103" s="54" t="s">
        <v>260</v>
      </c>
      <c r="J103" s="54">
        <v>50</v>
      </c>
      <c r="K103" s="54">
        <v>4</v>
      </c>
      <c r="L103" s="56">
        <v>247.34841173520394</v>
      </c>
      <c r="M103" s="57">
        <v>19.760502176453436</v>
      </c>
      <c r="N103" s="54">
        <v>2017</v>
      </c>
      <c r="O103" s="56">
        <v>4396</v>
      </c>
      <c r="P103" s="58">
        <v>47.03528629570431</v>
      </c>
      <c r="Q103">
        <v>59</v>
      </c>
    </row>
    <row r="104" spans="1:17" x14ac:dyDescent="0.25">
      <c r="A104" s="53" t="s">
        <v>102</v>
      </c>
      <c r="B104" s="54" t="s">
        <v>227</v>
      </c>
      <c r="C104" s="54" t="s">
        <v>184</v>
      </c>
      <c r="D104" s="54" t="s">
        <v>164</v>
      </c>
      <c r="E104" s="54">
        <v>30.777000000000001</v>
      </c>
      <c r="F104" s="54" t="s">
        <v>241</v>
      </c>
      <c r="G104" s="54">
        <v>4596580.9557253448</v>
      </c>
      <c r="H104" s="54">
        <v>1964</v>
      </c>
      <c r="I104" s="54" t="s">
        <v>260</v>
      </c>
      <c r="J104" s="54">
        <v>50</v>
      </c>
      <c r="K104" s="54">
        <v>4</v>
      </c>
      <c r="L104" s="56">
        <v>345.27821804677313</v>
      </c>
      <c r="M104" s="57">
        <v>12.378788860368632</v>
      </c>
      <c r="N104" s="54">
        <v>2019</v>
      </c>
      <c r="O104" s="56">
        <v>14344</v>
      </c>
      <c r="P104" s="58">
        <v>59.408787914887284</v>
      </c>
      <c r="Q104">
        <v>62</v>
      </c>
    </row>
    <row r="105" spans="1:17" x14ac:dyDescent="0.25">
      <c r="A105" s="53" t="s">
        <v>103</v>
      </c>
      <c r="B105" s="54" t="s">
        <v>227</v>
      </c>
      <c r="C105" s="54" t="s">
        <v>184</v>
      </c>
      <c r="D105" s="54" t="s">
        <v>164</v>
      </c>
      <c r="E105" s="54">
        <v>36.369</v>
      </c>
      <c r="F105" s="54" t="s">
        <v>259</v>
      </c>
      <c r="G105" s="54">
        <v>2591377.3607840589</v>
      </c>
      <c r="H105" s="54">
        <v>1963</v>
      </c>
      <c r="I105" s="54" t="s">
        <v>265</v>
      </c>
      <c r="J105" s="54">
        <v>26.5</v>
      </c>
      <c r="K105" s="54">
        <v>4</v>
      </c>
      <c r="L105" s="56">
        <v>150.39613643009861</v>
      </c>
      <c r="M105" s="57">
        <v>15.701691776712272</v>
      </c>
      <c r="N105" s="54">
        <v>2017</v>
      </c>
      <c r="O105" s="56">
        <v>14898</v>
      </c>
      <c r="P105" s="58">
        <v>55.318400345368396</v>
      </c>
      <c r="Q105">
        <v>63</v>
      </c>
    </row>
    <row r="106" spans="1:17" x14ac:dyDescent="0.25">
      <c r="A106" s="53" t="s">
        <v>104</v>
      </c>
      <c r="B106" s="54" t="s">
        <v>227</v>
      </c>
      <c r="C106" s="54" t="s">
        <v>186</v>
      </c>
      <c r="D106" s="54" t="s">
        <v>165</v>
      </c>
      <c r="E106" s="54">
        <v>44.627000000000002</v>
      </c>
      <c r="F106" s="54" t="s">
        <v>264</v>
      </c>
      <c r="G106" s="54">
        <v>1668359.3284237494</v>
      </c>
      <c r="H106" s="54">
        <v>1963</v>
      </c>
      <c r="I106" s="54" t="s">
        <v>271</v>
      </c>
      <c r="J106" s="54">
        <v>17.7</v>
      </c>
      <c r="K106" s="54">
        <v>3</v>
      </c>
      <c r="L106" s="56">
        <v>85.928175838939012</v>
      </c>
      <c r="M106" s="57">
        <v>18.21715030615734</v>
      </c>
      <c r="N106" s="54">
        <v>2017</v>
      </c>
      <c r="O106" s="56">
        <v>16025</v>
      </c>
      <c r="P106" s="58">
        <v>51.08446580951852</v>
      </c>
      <c r="Q106">
        <v>63</v>
      </c>
    </row>
    <row r="107" spans="1:17" x14ac:dyDescent="0.25">
      <c r="A107" s="53" t="s">
        <v>105</v>
      </c>
      <c r="B107" s="54" t="s">
        <v>227</v>
      </c>
      <c r="C107" s="54" t="s">
        <v>209</v>
      </c>
      <c r="D107" s="54" t="s">
        <v>165</v>
      </c>
      <c r="E107" s="54">
        <v>6.56</v>
      </c>
      <c r="F107" s="54" t="s">
        <v>276</v>
      </c>
      <c r="G107" s="54">
        <v>1944867.7580073024</v>
      </c>
      <c r="H107" s="54">
        <v>1967</v>
      </c>
      <c r="I107" s="54" t="s">
        <v>260</v>
      </c>
      <c r="J107" s="54">
        <v>20.399999999999999</v>
      </c>
      <c r="K107" s="54">
        <v>3</v>
      </c>
      <c r="L107" s="56">
        <v>92.81165686301145</v>
      </c>
      <c r="M107" s="57">
        <v>20.796301953491401</v>
      </c>
      <c r="N107" s="54">
        <v>2020</v>
      </c>
      <c r="O107" s="56">
        <v>11028</v>
      </c>
      <c r="P107" s="58">
        <v>48.744892904933302</v>
      </c>
      <c r="Q107">
        <v>59</v>
      </c>
    </row>
    <row r="108" spans="1:17" x14ac:dyDescent="0.25">
      <c r="A108" s="53" t="s">
        <v>106</v>
      </c>
      <c r="B108" s="54" t="s">
        <v>227</v>
      </c>
      <c r="C108" s="54" t="s">
        <v>175</v>
      </c>
      <c r="D108" s="54" t="s">
        <v>163</v>
      </c>
      <c r="E108" s="54">
        <v>35.222000000000001</v>
      </c>
      <c r="F108" s="54" t="s">
        <v>259</v>
      </c>
      <c r="G108" s="54">
        <v>2786765.6526607131</v>
      </c>
      <c r="H108" s="54">
        <v>1999</v>
      </c>
      <c r="I108" s="54" t="s">
        <v>260</v>
      </c>
      <c r="J108" s="54">
        <v>42</v>
      </c>
      <c r="K108" s="54">
        <v>2</v>
      </c>
      <c r="L108" s="56">
        <v>163.05761235488831</v>
      </c>
      <c r="M108" s="57">
        <v>16.158608558523966</v>
      </c>
      <c r="N108" s="54">
        <v>2020</v>
      </c>
      <c r="O108" s="56">
        <v>2216</v>
      </c>
      <c r="P108" s="58">
        <v>50.828812995239666</v>
      </c>
      <c r="Q108">
        <v>27</v>
      </c>
    </row>
    <row r="109" spans="1:17" x14ac:dyDescent="0.25">
      <c r="A109" s="53" t="s">
        <v>107</v>
      </c>
      <c r="B109" s="54" t="s">
        <v>227</v>
      </c>
      <c r="C109" s="54" t="s">
        <v>175</v>
      </c>
      <c r="D109" s="54" t="s">
        <v>164</v>
      </c>
      <c r="E109" s="54">
        <v>35.213999999999999</v>
      </c>
      <c r="F109" s="54" t="s">
        <v>259</v>
      </c>
      <c r="G109" s="54">
        <v>2037573.4330703274</v>
      </c>
      <c r="H109" s="54">
        <v>1967</v>
      </c>
      <c r="I109" s="54" t="s">
        <v>282</v>
      </c>
      <c r="J109" s="54">
        <v>24.4</v>
      </c>
      <c r="K109" s="54">
        <v>5</v>
      </c>
      <c r="L109" s="56">
        <v>86.57066180998396</v>
      </c>
      <c r="M109" s="57">
        <v>21.735209529619993</v>
      </c>
      <c r="N109" s="54">
        <v>2018</v>
      </c>
      <c r="O109" s="56">
        <v>5478</v>
      </c>
      <c r="P109" s="58">
        <v>41.530559294259909</v>
      </c>
      <c r="Q109">
        <v>59</v>
      </c>
    </row>
    <row r="110" spans="1:17" x14ac:dyDescent="0.25">
      <c r="A110" s="53" t="s">
        <v>108</v>
      </c>
      <c r="B110" s="54" t="s">
        <v>227</v>
      </c>
      <c r="C110" s="54" t="s">
        <v>178</v>
      </c>
      <c r="D110" s="54" t="s">
        <v>164</v>
      </c>
      <c r="E110" s="54">
        <v>8.375</v>
      </c>
      <c r="F110" s="54" t="s">
        <v>264</v>
      </c>
      <c r="G110" s="54">
        <v>2068714.3953047367</v>
      </c>
      <c r="H110" s="54">
        <v>1974</v>
      </c>
      <c r="I110" s="54" t="s">
        <v>265</v>
      </c>
      <c r="J110" s="54">
        <v>20.399999999999999</v>
      </c>
      <c r="K110" s="54">
        <v>3</v>
      </c>
      <c r="L110" s="56">
        <v>77.287478132218681</v>
      </c>
      <c r="M110" s="57">
        <v>26.245320748298596</v>
      </c>
      <c r="N110" s="54">
        <v>2020</v>
      </c>
      <c r="O110" s="56">
        <v>8837</v>
      </c>
      <c r="P110" s="58">
        <v>55.059016107382377</v>
      </c>
      <c r="Q110">
        <v>52</v>
      </c>
    </row>
    <row r="111" spans="1:17" x14ac:dyDescent="0.25">
      <c r="A111" s="53" t="s">
        <v>109</v>
      </c>
      <c r="B111" s="54" t="s">
        <v>227</v>
      </c>
      <c r="C111" s="54" t="s">
        <v>168</v>
      </c>
      <c r="D111" s="54" t="s">
        <v>164</v>
      </c>
      <c r="E111" s="54">
        <v>8.1780000000000008</v>
      </c>
      <c r="F111" s="54" t="s">
        <v>241</v>
      </c>
      <c r="G111" s="54">
        <v>1005353.0798099947</v>
      </c>
      <c r="H111" s="54">
        <v>1973</v>
      </c>
      <c r="I111" s="54" t="s">
        <v>265</v>
      </c>
      <c r="J111" s="54">
        <v>31.1</v>
      </c>
      <c r="K111" s="54">
        <v>4</v>
      </c>
      <c r="L111" s="56">
        <v>95.168677173229653</v>
      </c>
      <c r="M111" s="57">
        <v>10.338443227015913</v>
      </c>
      <c r="N111" s="54">
        <v>2021</v>
      </c>
      <c r="O111" s="56">
        <v>10253</v>
      </c>
      <c r="P111" s="58">
        <v>57.691053299799847</v>
      </c>
      <c r="Q111">
        <v>53</v>
      </c>
    </row>
    <row r="112" spans="1:17" x14ac:dyDescent="0.25">
      <c r="A112" s="53" t="s">
        <v>110</v>
      </c>
      <c r="B112" s="54" t="s">
        <v>227</v>
      </c>
      <c r="C112" s="54" t="s">
        <v>192</v>
      </c>
      <c r="D112" s="54" t="s">
        <v>164</v>
      </c>
      <c r="E112" s="54">
        <v>0.51600000000000001</v>
      </c>
      <c r="F112" s="54" t="s">
        <v>241</v>
      </c>
      <c r="G112" s="54">
        <v>2003475.8194741809</v>
      </c>
      <c r="H112" s="54">
        <v>1972</v>
      </c>
      <c r="I112" s="54" t="s">
        <v>265</v>
      </c>
      <c r="J112" s="54">
        <v>26.8</v>
      </c>
      <c r="K112" s="54">
        <v>4</v>
      </c>
      <c r="L112" s="56">
        <v>132.49310976537933</v>
      </c>
      <c r="M112" s="57">
        <v>14.94336906420857</v>
      </c>
      <c r="N112" s="54">
        <v>2021</v>
      </c>
      <c r="O112" s="56">
        <v>11175</v>
      </c>
      <c r="P112" s="58">
        <v>53.666478967909001</v>
      </c>
      <c r="Q112">
        <v>54</v>
      </c>
    </row>
    <row r="113" spans="1:17" x14ac:dyDescent="0.25">
      <c r="A113" s="53" t="s">
        <v>111</v>
      </c>
      <c r="B113" s="54" t="s">
        <v>227</v>
      </c>
      <c r="C113" s="54" t="s">
        <v>168</v>
      </c>
      <c r="D113" s="54" t="s">
        <v>164</v>
      </c>
      <c r="E113" s="54">
        <v>11.438000000000001</v>
      </c>
      <c r="F113" s="54" t="s">
        <v>241</v>
      </c>
      <c r="G113" s="54">
        <v>1020111.6026329775</v>
      </c>
      <c r="H113" s="54">
        <v>1972</v>
      </c>
      <c r="I113" s="54" t="s">
        <v>265</v>
      </c>
      <c r="J113" s="54">
        <v>22.9</v>
      </c>
      <c r="K113" s="54">
        <v>4</v>
      </c>
      <c r="L113" s="56">
        <v>88.66604393034288</v>
      </c>
      <c r="M113" s="57">
        <v>11.465288638468321</v>
      </c>
      <c r="N113" s="54">
        <v>2019</v>
      </c>
      <c r="O113" s="56">
        <v>7956</v>
      </c>
      <c r="P113" s="58">
        <v>56.185387092169861</v>
      </c>
      <c r="Q113">
        <v>54</v>
      </c>
    </row>
    <row r="114" spans="1:17" x14ac:dyDescent="0.25">
      <c r="A114" s="53" t="s">
        <v>112</v>
      </c>
      <c r="B114" s="54" t="s">
        <v>227</v>
      </c>
      <c r="C114" s="54" t="s">
        <v>218</v>
      </c>
      <c r="D114" s="54" t="s">
        <v>164</v>
      </c>
      <c r="E114" s="54">
        <v>31.437000000000001</v>
      </c>
      <c r="F114" s="54" t="s">
        <v>259</v>
      </c>
      <c r="G114" s="54">
        <v>1711680.7888643804</v>
      </c>
      <c r="H114" s="54">
        <v>1966</v>
      </c>
      <c r="I114" s="54" t="s">
        <v>261</v>
      </c>
      <c r="J114" s="54">
        <v>21.3</v>
      </c>
      <c r="K114" s="54">
        <v>4</v>
      </c>
      <c r="L114" s="56">
        <v>69.955614139949802</v>
      </c>
      <c r="M114" s="57">
        <v>21.156338694963015</v>
      </c>
      <c r="N114" s="54">
        <v>2020</v>
      </c>
      <c r="O114" s="56">
        <v>5284</v>
      </c>
      <c r="P114" s="58">
        <v>47.837765724391602</v>
      </c>
      <c r="Q114">
        <v>60</v>
      </c>
    </row>
    <row r="115" spans="1:17" x14ac:dyDescent="0.25">
      <c r="A115" s="53" t="s">
        <v>113</v>
      </c>
      <c r="B115" s="54" t="s">
        <v>227</v>
      </c>
      <c r="C115" s="54" t="s">
        <v>203</v>
      </c>
      <c r="D115" s="54" t="s">
        <v>164</v>
      </c>
      <c r="E115" s="54">
        <v>7.0000000000000001E-3</v>
      </c>
      <c r="F115" s="54" t="s">
        <v>241</v>
      </c>
      <c r="G115" s="54">
        <v>2234266.1597424457</v>
      </c>
      <c r="H115" s="54">
        <v>1964</v>
      </c>
      <c r="I115" s="54" t="s">
        <v>282</v>
      </c>
      <c r="J115" s="54">
        <v>28.3</v>
      </c>
      <c r="K115" s="54">
        <v>3</v>
      </c>
      <c r="L115" s="56">
        <v>78.551197808485583</v>
      </c>
      <c r="M115" s="57">
        <v>24.528015215146855</v>
      </c>
      <c r="N115" s="54">
        <v>2020</v>
      </c>
      <c r="O115" s="56">
        <v>19596</v>
      </c>
      <c r="P115" s="58">
        <v>47.340908150159628</v>
      </c>
      <c r="Q115">
        <v>62</v>
      </c>
    </row>
    <row r="116" spans="1:17" x14ac:dyDescent="0.25">
      <c r="A116" s="53" t="s">
        <v>114</v>
      </c>
      <c r="B116" s="54" t="s">
        <v>227</v>
      </c>
      <c r="C116" s="54" t="s">
        <v>201</v>
      </c>
      <c r="D116" s="54" t="s">
        <v>164</v>
      </c>
      <c r="E116" s="54">
        <v>0.39600000000000002</v>
      </c>
      <c r="F116" s="54" t="s">
        <v>259</v>
      </c>
      <c r="G116" s="54">
        <v>2791470.5334343133</v>
      </c>
      <c r="H116" s="54">
        <v>1965</v>
      </c>
      <c r="I116" s="54" t="s">
        <v>261</v>
      </c>
      <c r="J116" s="54">
        <v>25.9</v>
      </c>
      <c r="K116" s="54">
        <v>4</v>
      </c>
      <c r="L116" s="56">
        <v>132.26339976475992</v>
      </c>
      <c r="M116" s="57">
        <v>18.82560429919797</v>
      </c>
      <c r="N116" s="54">
        <v>2018</v>
      </c>
      <c r="O116" s="56">
        <v>11744</v>
      </c>
      <c r="P116" s="58">
        <v>60.502625311031807</v>
      </c>
      <c r="Q116">
        <v>61</v>
      </c>
    </row>
    <row r="117" spans="1:17" x14ac:dyDescent="0.25">
      <c r="A117" s="53" t="s">
        <v>115</v>
      </c>
      <c r="B117" s="54" t="s">
        <v>227</v>
      </c>
      <c r="C117" s="54" t="s">
        <v>210</v>
      </c>
      <c r="D117" s="54" t="s">
        <v>163</v>
      </c>
      <c r="E117" s="54">
        <v>46.021000000000001</v>
      </c>
      <c r="F117" s="54" t="s">
        <v>250</v>
      </c>
      <c r="G117" s="54">
        <v>2300394.335302236</v>
      </c>
      <c r="H117" s="54">
        <v>1969</v>
      </c>
      <c r="I117" s="54" t="s">
        <v>265</v>
      </c>
      <c r="J117" s="54">
        <v>23.8</v>
      </c>
      <c r="K117" s="54">
        <v>4</v>
      </c>
      <c r="L117" s="56">
        <v>153.86967906744391</v>
      </c>
      <c r="M117" s="57">
        <v>14.025714432401188</v>
      </c>
      <c r="N117" s="54">
        <v>2020</v>
      </c>
      <c r="O117" s="56">
        <v>7612</v>
      </c>
      <c r="P117" s="58">
        <v>64.049574691542304</v>
      </c>
      <c r="Q117">
        <v>57</v>
      </c>
    </row>
    <row r="118" spans="1:17" x14ac:dyDescent="0.25">
      <c r="A118" s="53" t="s">
        <v>116</v>
      </c>
      <c r="B118" s="54" t="s">
        <v>227</v>
      </c>
      <c r="C118" s="54" t="s">
        <v>210</v>
      </c>
      <c r="D118" s="54" t="s">
        <v>164</v>
      </c>
      <c r="E118" s="54">
        <v>45.679000000000002</v>
      </c>
      <c r="F118" s="54" t="s">
        <v>250</v>
      </c>
      <c r="G118" s="54">
        <v>3869659.8327983357</v>
      </c>
      <c r="H118" s="54">
        <v>1967</v>
      </c>
      <c r="I118" s="54" t="s">
        <v>265</v>
      </c>
      <c r="J118" s="54">
        <v>23.8</v>
      </c>
      <c r="K118" s="54">
        <v>4</v>
      </c>
      <c r="L118" s="56">
        <v>164.19339339910488</v>
      </c>
      <c r="M118" s="57">
        <v>22.199894385312369</v>
      </c>
      <c r="N118" s="54">
        <v>2020</v>
      </c>
      <c r="O118" s="56">
        <v>1813</v>
      </c>
      <c r="P118" s="58">
        <v>53.683236198837996</v>
      </c>
      <c r="Q118">
        <v>59</v>
      </c>
    </row>
    <row r="119" spans="1:17" x14ac:dyDescent="0.25">
      <c r="A119" s="53" t="s">
        <v>117</v>
      </c>
      <c r="B119" s="54" t="s">
        <v>227</v>
      </c>
      <c r="C119" s="54" t="s">
        <v>206</v>
      </c>
      <c r="D119" s="54" t="s">
        <v>164</v>
      </c>
      <c r="E119" s="54">
        <v>5.9459999999999997</v>
      </c>
      <c r="F119" s="54" t="s">
        <v>259</v>
      </c>
      <c r="G119" s="54">
        <v>3034728.5741426731</v>
      </c>
      <c r="H119" s="54">
        <v>1980</v>
      </c>
      <c r="I119" s="54" t="s">
        <v>272</v>
      </c>
      <c r="J119" s="54">
        <v>38.1</v>
      </c>
      <c r="K119" s="54">
        <v>2</v>
      </c>
      <c r="L119" s="56">
        <v>151.7744272258517</v>
      </c>
      <c r="M119" s="57">
        <v>17.444481211538807</v>
      </c>
      <c r="N119" s="54">
        <v>2019</v>
      </c>
      <c r="O119" s="56">
        <v>14165</v>
      </c>
      <c r="P119" s="58">
        <v>60.79389892733326</v>
      </c>
      <c r="Q119">
        <v>46</v>
      </c>
    </row>
    <row r="120" spans="1:17" x14ac:dyDescent="0.25">
      <c r="A120" s="53" t="s">
        <v>118</v>
      </c>
      <c r="B120" s="54" t="s">
        <v>227</v>
      </c>
      <c r="C120" s="54" t="s">
        <v>183</v>
      </c>
      <c r="D120" s="54" t="s">
        <v>164</v>
      </c>
      <c r="E120" s="54">
        <v>16.033999999999999</v>
      </c>
      <c r="F120" s="54" t="s">
        <v>259</v>
      </c>
      <c r="G120" s="54">
        <v>1680628.4787026977</v>
      </c>
      <c r="H120" s="54">
        <v>1981</v>
      </c>
      <c r="I120" s="54" t="s">
        <v>283</v>
      </c>
      <c r="J120" s="54">
        <v>69.2</v>
      </c>
      <c r="K120" s="54">
        <v>1</v>
      </c>
      <c r="L120" s="56">
        <v>69.929493504831768</v>
      </c>
      <c r="M120" s="57">
        <v>23.723863411904897</v>
      </c>
      <c r="N120" s="54">
        <v>2019</v>
      </c>
      <c r="O120" s="56">
        <v>6899</v>
      </c>
      <c r="P120" s="58">
        <v>58.207223033824583</v>
      </c>
      <c r="Q120">
        <v>45</v>
      </c>
    </row>
    <row r="121" spans="1:17" x14ac:dyDescent="0.25">
      <c r="A121" s="53" t="s">
        <v>119</v>
      </c>
      <c r="B121" s="54" t="s">
        <v>227</v>
      </c>
      <c r="C121" s="54" t="s">
        <v>193</v>
      </c>
      <c r="D121" s="54" t="s">
        <v>165</v>
      </c>
      <c r="E121" s="54">
        <v>11.047000000000001</v>
      </c>
      <c r="F121" s="54" t="s">
        <v>262</v>
      </c>
      <c r="G121" s="54">
        <v>3459683.795471136</v>
      </c>
      <c r="H121" s="54">
        <v>1974</v>
      </c>
      <c r="I121" s="54" t="s">
        <v>260</v>
      </c>
      <c r="J121" s="54">
        <v>42.7</v>
      </c>
      <c r="K121" s="54">
        <v>4</v>
      </c>
      <c r="L121" s="56">
        <v>172.17182731833407</v>
      </c>
      <c r="M121" s="57">
        <v>17.666651847883738</v>
      </c>
      <c r="N121" s="54">
        <v>2020</v>
      </c>
      <c r="O121" s="56">
        <v>16322</v>
      </c>
      <c r="P121" s="58">
        <v>53.335848797882875</v>
      </c>
      <c r="Q121">
        <v>52</v>
      </c>
    </row>
    <row r="122" spans="1:17" x14ac:dyDescent="0.25">
      <c r="A122" s="53" t="s">
        <v>120</v>
      </c>
      <c r="B122" s="54" t="s">
        <v>227</v>
      </c>
      <c r="C122" s="54" t="s">
        <v>181</v>
      </c>
      <c r="D122" s="54" t="s">
        <v>164</v>
      </c>
      <c r="E122" s="54">
        <v>9.7390000000000008</v>
      </c>
      <c r="F122" s="54" t="s">
        <v>241</v>
      </c>
      <c r="G122" s="54">
        <v>3151763.9783669827</v>
      </c>
      <c r="H122" s="54">
        <v>1976</v>
      </c>
      <c r="I122" s="54" t="s">
        <v>260</v>
      </c>
      <c r="J122" s="54">
        <v>45.7</v>
      </c>
      <c r="K122" s="54">
        <v>2</v>
      </c>
      <c r="L122" s="56">
        <v>165.19893797884029</v>
      </c>
      <c r="M122" s="57">
        <v>17.429618105759122</v>
      </c>
      <c r="N122" s="54">
        <v>2020</v>
      </c>
      <c r="O122" s="56">
        <v>15440</v>
      </c>
      <c r="P122" s="58">
        <v>45.649435776219029</v>
      </c>
      <c r="Q122">
        <v>50</v>
      </c>
    </row>
    <row r="123" spans="1:17" x14ac:dyDescent="0.25">
      <c r="A123" s="53" t="s">
        <v>121</v>
      </c>
      <c r="B123" s="54" t="s">
        <v>227</v>
      </c>
      <c r="C123" s="54" t="s">
        <v>181</v>
      </c>
      <c r="D123" s="54" t="s">
        <v>164</v>
      </c>
      <c r="E123" s="54">
        <v>6.4809999999999999</v>
      </c>
      <c r="F123" s="54" t="s">
        <v>259</v>
      </c>
      <c r="G123" s="54">
        <v>804280.99036396318</v>
      </c>
      <c r="H123" s="54">
        <v>1970</v>
      </c>
      <c r="I123" s="54" t="s">
        <v>277</v>
      </c>
      <c r="J123" s="54">
        <v>16.2</v>
      </c>
      <c r="K123" s="54">
        <v>1</v>
      </c>
      <c r="L123" s="56">
        <v>16.656749135764137</v>
      </c>
      <c r="M123" s="57">
        <v>47.26919660217942</v>
      </c>
      <c r="N123" s="54">
        <v>2020</v>
      </c>
      <c r="O123" s="56">
        <v>16159</v>
      </c>
      <c r="P123" s="58">
        <v>55.308616957484581</v>
      </c>
      <c r="Q123">
        <v>56</v>
      </c>
    </row>
    <row r="124" spans="1:17" x14ac:dyDescent="0.25">
      <c r="A124" s="53" t="s">
        <v>122</v>
      </c>
      <c r="B124" s="54" t="s">
        <v>227</v>
      </c>
      <c r="C124" s="54" t="s">
        <v>169</v>
      </c>
      <c r="D124" s="54" t="s">
        <v>163</v>
      </c>
      <c r="E124" s="54">
        <v>0.502</v>
      </c>
      <c r="F124" s="54" t="s">
        <v>264</v>
      </c>
      <c r="G124" s="54">
        <v>2623710.7628537701</v>
      </c>
      <c r="H124" s="54">
        <v>1980</v>
      </c>
      <c r="I124" s="54" t="s">
        <v>238</v>
      </c>
      <c r="J124" s="54">
        <v>20.100000000000001</v>
      </c>
      <c r="K124" s="54">
        <v>3</v>
      </c>
      <c r="L124" s="56">
        <v>97.444075268974046</v>
      </c>
      <c r="M124" s="57">
        <v>23.036384075911275</v>
      </c>
      <c r="N124" s="54">
        <v>2020</v>
      </c>
      <c r="O124" s="56">
        <v>1694</v>
      </c>
      <c r="P124" s="58">
        <v>58.665951361178806</v>
      </c>
      <c r="Q124">
        <v>46</v>
      </c>
    </row>
    <row r="125" spans="1:17" x14ac:dyDescent="0.25">
      <c r="A125" s="53" t="s">
        <v>123</v>
      </c>
      <c r="B125" s="54" t="s">
        <v>227</v>
      </c>
      <c r="C125" s="54" t="s">
        <v>169</v>
      </c>
      <c r="D125" s="54" t="s">
        <v>164</v>
      </c>
      <c r="E125" s="54">
        <v>0.54300000000000004</v>
      </c>
      <c r="F125" s="54" t="s">
        <v>264</v>
      </c>
      <c r="G125" s="54">
        <v>1064374.8304832086</v>
      </c>
      <c r="H125" s="54">
        <v>1974</v>
      </c>
      <c r="I125" s="54" t="s">
        <v>238</v>
      </c>
      <c r="J125" s="54">
        <v>20.100000000000001</v>
      </c>
      <c r="K125" s="54">
        <v>3</v>
      </c>
      <c r="L125" s="56">
        <v>68.78312906834293</v>
      </c>
      <c r="M125" s="57">
        <v>14.14762613686902</v>
      </c>
      <c r="N125" s="54">
        <v>2019</v>
      </c>
      <c r="O125" s="56">
        <v>18821</v>
      </c>
      <c r="P125" s="58">
        <v>47.712156178010957</v>
      </c>
      <c r="Q125">
        <v>52</v>
      </c>
    </row>
    <row r="126" spans="1:17" x14ac:dyDescent="0.25">
      <c r="A126" s="53" t="s">
        <v>124</v>
      </c>
      <c r="B126" s="54" t="s">
        <v>227</v>
      </c>
      <c r="C126" s="54" t="s">
        <v>169</v>
      </c>
      <c r="D126" s="54" t="s">
        <v>163</v>
      </c>
      <c r="E126" s="54">
        <v>8.0990000000000002</v>
      </c>
      <c r="F126" s="54" t="s">
        <v>241</v>
      </c>
      <c r="G126" s="54">
        <v>1878445.8482955084</v>
      </c>
      <c r="H126" s="54">
        <v>1974</v>
      </c>
      <c r="I126" s="54" t="s">
        <v>261</v>
      </c>
      <c r="J126" s="54">
        <v>24.4</v>
      </c>
      <c r="K126" s="54">
        <v>2</v>
      </c>
      <c r="L126" s="56">
        <v>82.363074131256255</v>
      </c>
      <c r="M126" s="57">
        <v>22.146632144493172</v>
      </c>
      <c r="N126" s="54">
        <v>2020</v>
      </c>
      <c r="O126" s="56">
        <v>10940</v>
      </c>
      <c r="P126" s="58">
        <v>44.030105522566863</v>
      </c>
      <c r="Q126">
        <v>52</v>
      </c>
    </row>
    <row r="127" spans="1:17" x14ac:dyDescent="0.25">
      <c r="A127" s="53" t="s">
        <v>125</v>
      </c>
      <c r="B127" s="54" t="s">
        <v>227</v>
      </c>
      <c r="C127" s="54" t="s">
        <v>169</v>
      </c>
      <c r="D127" s="54" t="s">
        <v>164</v>
      </c>
      <c r="E127" s="54">
        <v>8.15</v>
      </c>
      <c r="F127" s="54" t="s">
        <v>241</v>
      </c>
      <c r="G127" s="54">
        <v>1742573.163209778</v>
      </c>
      <c r="H127" s="54">
        <v>1970</v>
      </c>
      <c r="I127" s="54" t="s">
        <v>261</v>
      </c>
      <c r="J127" s="54">
        <v>24.4</v>
      </c>
      <c r="K127" s="54">
        <v>2</v>
      </c>
      <c r="L127" s="56">
        <v>92.99385107321902</v>
      </c>
      <c r="M127" s="57">
        <v>17.982691004337095</v>
      </c>
      <c r="N127" s="54">
        <v>2017</v>
      </c>
      <c r="O127" s="56">
        <v>17381</v>
      </c>
      <c r="P127" s="58">
        <v>55.693383811277663</v>
      </c>
      <c r="Q127">
        <v>56</v>
      </c>
    </row>
    <row r="128" spans="1:17" x14ac:dyDescent="0.25">
      <c r="A128" s="53" t="s">
        <v>126</v>
      </c>
      <c r="B128" s="54" t="s">
        <v>227</v>
      </c>
      <c r="C128" s="54" t="s">
        <v>169</v>
      </c>
      <c r="D128" s="54" t="s">
        <v>164</v>
      </c>
      <c r="E128" s="54">
        <v>8.15</v>
      </c>
      <c r="F128" s="54" t="s">
        <v>259</v>
      </c>
      <c r="G128" s="54">
        <v>730429.3623597211</v>
      </c>
      <c r="H128" s="54">
        <v>1975</v>
      </c>
      <c r="I128" s="54" t="s">
        <v>261</v>
      </c>
      <c r="J128" s="54">
        <v>24.4</v>
      </c>
      <c r="K128" s="54">
        <v>2</v>
      </c>
      <c r="L128" s="56">
        <v>75.883355362228684</v>
      </c>
      <c r="M128" s="57">
        <v>9.2732472465501665</v>
      </c>
      <c r="N128" s="54">
        <v>2020</v>
      </c>
      <c r="O128" s="56">
        <v>4176</v>
      </c>
      <c r="P128" s="58">
        <v>44.946499973452916</v>
      </c>
      <c r="Q128">
        <v>51</v>
      </c>
    </row>
    <row r="129" spans="1:17" x14ac:dyDescent="0.25">
      <c r="A129" s="53" t="s">
        <v>127</v>
      </c>
      <c r="B129" s="54" t="s">
        <v>227</v>
      </c>
      <c r="C129" s="54" t="s">
        <v>169</v>
      </c>
      <c r="D129" s="54" t="s">
        <v>164</v>
      </c>
      <c r="E129" s="54">
        <v>15.618</v>
      </c>
      <c r="F129" s="54" t="s">
        <v>276</v>
      </c>
      <c r="G129" s="54">
        <v>996318.42633856216</v>
      </c>
      <c r="H129" s="54">
        <v>1976</v>
      </c>
      <c r="I129" s="54" t="s">
        <v>260</v>
      </c>
      <c r="J129" s="54">
        <v>29.3</v>
      </c>
      <c r="K129" s="54">
        <v>4</v>
      </c>
      <c r="L129" s="56">
        <v>153.56543240699366</v>
      </c>
      <c r="M129" s="57">
        <v>6.0919012107330328</v>
      </c>
      <c r="N129" s="54">
        <v>2019</v>
      </c>
      <c r="O129" s="56">
        <v>1271</v>
      </c>
      <c r="P129" s="58">
        <v>42.633523372070449</v>
      </c>
      <c r="Q129">
        <v>50</v>
      </c>
    </row>
    <row r="130" spans="1:17" x14ac:dyDescent="0.25">
      <c r="A130" s="53" t="s">
        <v>128</v>
      </c>
      <c r="B130" s="54" t="s">
        <v>227</v>
      </c>
      <c r="C130" s="54" t="s">
        <v>182</v>
      </c>
      <c r="D130" s="54" t="s">
        <v>164</v>
      </c>
      <c r="E130" s="54">
        <v>21.048999999999999</v>
      </c>
      <c r="F130" s="54" t="s">
        <v>259</v>
      </c>
      <c r="G130" s="54">
        <v>2090032.3514614634</v>
      </c>
      <c r="H130" s="54">
        <v>1975</v>
      </c>
      <c r="I130" s="54" t="s">
        <v>272</v>
      </c>
      <c r="J130" s="54">
        <v>36.6</v>
      </c>
      <c r="K130" s="54">
        <v>2</v>
      </c>
      <c r="L130" s="56">
        <v>121.11897844761252</v>
      </c>
      <c r="M130" s="57">
        <v>14.549529272428696</v>
      </c>
      <c r="N130" s="54">
        <v>2017</v>
      </c>
      <c r="O130" s="56">
        <v>14494</v>
      </c>
      <c r="P130" s="58">
        <v>50.518068601799747</v>
      </c>
      <c r="Q130">
        <v>51</v>
      </c>
    </row>
    <row r="131" spans="1:17" x14ac:dyDescent="0.25">
      <c r="A131" s="53" t="s">
        <v>129</v>
      </c>
      <c r="B131" s="54" t="s">
        <v>227</v>
      </c>
      <c r="C131" s="54" t="s">
        <v>174</v>
      </c>
      <c r="D131" s="54" t="s">
        <v>165</v>
      </c>
      <c r="E131" s="54">
        <v>3.8849999999999998</v>
      </c>
      <c r="F131" s="54" t="s">
        <v>241</v>
      </c>
      <c r="G131" s="54">
        <v>4314113.5241086353</v>
      </c>
      <c r="H131" s="54">
        <v>1979</v>
      </c>
      <c r="I131" s="54" t="s">
        <v>261</v>
      </c>
      <c r="J131" s="54">
        <v>33.5</v>
      </c>
      <c r="K131" s="54">
        <v>5</v>
      </c>
      <c r="L131" s="56">
        <v>325.00314981136853</v>
      </c>
      <c r="M131" s="57">
        <v>12.432277092191601</v>
      </c>
      <c r="N131" s="54">
        <v>2021</v>
      </c>
      <c r="O131" s="56">
        <v>11872</v>
      </c>
      <c r="P131" s="58">
        <v>51.25919461490485</v>
      </c>
      <c r="Q131">
        <v>47</v>
      </c>
    </row>
    <row r="132" spans="1:17" x14ac:dyDescent="0.25">
      <c r="A132" s="53" t="s">
        <v>130</v>
      </c>
      <c r="B132" s="54" t="s">
        <v>227</v>
      </c>
      <c r="C132" s="54" t="s">
        <v>180</v>
      </c>
      <c r="D132" s="54" t="s">
        <v>163</v>
      </c>
      <c r="E132" s="54">
        <v>8.4160000000000004</v>
      </c>
      <c r="F132" s="54" t="s">
        <v>264</v>
      </c>
      <c r="G132" s="54">
        <v>1151393.0930905975</v>
      </c>
      <c r="H132" s="54">
        <v>2001</v>
      </c>
      <c r="I132" s="54" t="s">
        <v>267</v>
      </c>
      <c r="J132" s="54">
        <v>38</v>
      </c>
      <c r="K132" s="54">
        <v>1</v>
      </c>
      <c r="L132" s="56">
        <v>47.197157902857199</v>
      </c>
      <c r="M132" s="57">
        <v>23.899152425699331</v>
      </c>
      <c r="N132" s="54">
        <v>2021</v>
      </c>
      <c r="O132" s="56">
        <v>19446</v>
      </c>
      <c r="P132" s="58">
        <v>58.064759257062441</v>
      </c>
      <c r="Q132">
        <v>25</v>
      </c>
    </row>
    <row r="133" spans="1:17" x14ac:dyDescent="0.25">
      <c r="A133" s="53" t="s">
        <v>131</v>
      </c>
      <c r="B133" s="54" t="s">
        <v>227</v>
      </c>
      <c r="C133" s="54" t="s">
        <v>180</v>
      </c>
      <c r="D133" s="54" t="s">
        <v>163</v>
      </c>
      <c r="E133" s="54">
        <v>8.5069999999999997</v>
      </c>
      <c r="F133" s="54" t="s">
        <v>264</v>
      </c>
      <c r="G133" s="54">
        <v>1537443.0489197173</v>
      </c>
      <c r="H133" s="54">
        <v>2008</v>
      </c>
      <c r="I133" s="54" t="s">
        <v>267</v>
      </c>
      <c r="J133" s="54">
        <v>38</v>
      </c>
      <c r="K133" s="54">
        <v>1</v>
      </c>
      <c r="L133" s="56">
        <v>66.156546540002921</v>
      </c>
      <c r="M133" s="57">
        <v>19.941747237653008</v>
      </c>
      <c r="N133" s="54">
        <v>2021</v>
      </c>
      <c r="O133" s="56">
        <v>1968</v>
      </c>
      <c r="P133" s="58">
        <v>51.386490046453737</v>
      </c>
      <c r="Q133">
        <v>18</v>
      </c>
    </row>
    <row r="134" spans="1:17" x14ac:dyDescent="0.25">
      <c r="A134" s="53" t="s">
        <v>132</v>
      </c>
      <c r="B134" s="54" t="s">
        <v>227</v>
      </c>
      <c r="C134" s="54" t="s">
        <v>216</v>
      </c>
      <c r="D134" s="54" t="s">
        <v>164</v>
      </c>
      <c r="E134" s="54">
        <v>4.0060000000000002</v>
      </c>
      <c r="F134" s="54" t="s">
        <v>259</v>
      </c>
      <c r="G134" s="54">
        <v>2564327.967536808</v>
      </c>
      <c r="H134" s="54">
        <v>1985</v>
      </c>
      <c r="I134" s="54" t="s">
        <v>237</v>
      </c>
      <c r="J134" s="54">
        <v>26</v>
      </c>
      <c r="K134" s="54">
        <v>4</v>
      </c>
      <c r="L134" s="56">
        <v>121.30752770095845</v>
      </c>
      <c r="M134" s="57">
        <v>19.635153581039219</v>
      </c>
      <c r="N134" s="54">
        <v>2020</v>
      </c>
      <c r="O134" s="56">
        <v>7574</v>
      </c>
      <c r="P134" s="58">
        <v>46.795422659065316</v>
      </c>
      <c r="Q134">
        <v>41</v>
      </c>
    </row>
    <row r="135" spans="1:17" x14ac:dyDescent="0.25">
      <c r="A135" s="53" t="s">
        <v>133</v>
      </c>
      <c r="B135" s="54" t="s">
        <v>227</v>
      </c>
      <c r="C135" s="54" t="s">
        <v>182</v>
      </c>
      <c r="D135" s="54" t="s">
        <v>164</v>
      </c>
      <c r="E135" s="54">
        <v>9.7119999999999997</v>
      </c>
      <c r="F135" s="54" t="s">
        <v>259</v>
      </c>
      <c r="G135" s="54">
        <v>2295858.7870655721</v>
      </c>
      <c r="H135" s="54">
        <v>1979</v>
      </c>
      <c r="I135" s="54" t="s">
        <v>272</v>
      </c>
      <c r="J135" s="54">
        <v>36.6</v>
      </c>
      <c r="K135" s="54">
        <v>2</v>
      </c>
      <c r="L135" s="56">
        <v>145.73442396403672</v>
      </c>
      <c r="M135" s="57">
        <v>14.48372413234841</v>
      </c>
      <c r="N135" s="54">
        <v>2020</v>
      </c>
      <c r="O135" s="56">
        <v>9564</v>
      </c>
      <c r="P135" s="58">
        <v>48.430776474334351</v>
      </c>
      <c r="Q135">
        <v>47</v>
      </c>
    </row>
    <row r="136" spans="1:17" x14ac:dyDescent="0.25">
      <c r="A136" s="53" t="s">
        <v>134</v>
      </c>
      <c r="B136" s="54" t="s">
        <v>227</v>
      </c>
      <c r="C136" s="54" t="s">
        <v>193</v>
      </c>
      <c r="D136" s="54" t="s">
        <v>165</v>
      </c>
      <c r="E136" s="54">
        <v>12.766999999999999</v>
      </c>
      <c r="F136" s="54" t="s">
        <v>264</v>
      </c>
      <c r="G136" s="54">
        <v>2249805.7360626245</v>
      </c>
      <c r="H136" s="54">
        <v>1972</v>
      </c>
      <c r="I136" s="54" t="s">
        <v>238</v>
      </c>
      <c r="J136" s="54">
        <v>16.8</v>
      </c>
      <c r="K136" s="54">
        <v>3</v>
      </c>
      <c r="L136" s="56">
        <v>88.722707824442168</v>
      </c>
      <c r="M136" s="57">
        <v>21.565796002490373</v>
      </c>
      <c r="N136" s="54">
        <v>2018</v>
      </c>
      <c r="O136" s="56">
        <v>7258</v>
      </c>
      <c r="P136" s="58">
        <v>48.446923401482934</v>
      </c>
      <c r="Q136">
        <v>54</v>
      </c>
    </row>
    <row r="137" spans="1:17" x14ac:dyDescent="0.25">
      <c r="A137" s="53" t="s">
        <v>135</v>
      </c>
      <c r="B137" s="54" t="s">
        <v>227</v>
      </c>
      <c r="C137" s="54" t="s">
        <v>196</v>
      </c>
      <c r="D137" s="54" t="s">
        <v>165</v>
      </c>
      <c r="E137" s="54">
        <v>10.250999999999999</v>
      </c>
      <c r="F137" s="54" t="s">
        <v>264</v>
      </c>
      <c r="G137" s="54">
        <v>2084828.2354827106</v>
      </c>
      <c r="H137" s="54">
        <v>1987</v>
      </c>
      <c r="I137" s="54" t="s">
        <v>233</v>
      </c>
      <c r="J137" s="54">
        <v>24</v>
      </c>
      <c r="K137" s="54">
        <v>3</v>
      </c>
      <c r="L137" s="56">
        <v>91.214483601560957</v>
      </c>
      <c r="M137" s="57">
        <v>19.275005155844994</v>
      </c>
      <c r="N137" s="54">
        <v>2018</v>
      </c>
      <c r="O137" s="56">
        <v>8232</v>
      </c>
      <c r="P137" s="58">
        <v>52.467599700009295</v>
      </c>
      <c r="Q137">
        <v>39</v>
      </c>
    </row>
    <row r="138" spans="1:17" x14ac:dyDescent="0.25">
      <c r="A138" s="53" t="s">
        <v>136</v>
      </c>
      <c r="B138" s="54" t="s">
        <v>227</v>
      </c>
      <c r="C138" s="54" t="s">
        <v>170</v>
      </c>
      <c r="D138" s="54" t="s">
        <v>163</v>
      </c>
      <c r="E138" s="54">
        <v>2.4420000000000002</v>
      </c>
      <c r="F138" s="54" t="s">
        <v>264</v>
      </c>
      <c r="G138" s="54">
        <v>665708.67195737187</v>
      </c>
      <c r="H138" s="54">
        <v>1982</v>
      </c>
      <c r="I138" s="54" t="s">
        <v>274</v>
      </c>
      <c r="J138" s="54">
        <v>12.2</v>
      </c>
      <c r="K138" s="54">
        <v>3</v>
      </c>
      <c r="L138" s="56">
        <v>40.854695873393077</v>
      </c>
      <c r="M138" s="57">
        <v>13.764519230965348</v>
      </c>
      <c r="N138" s="54">
        <v>2019</v>
      </c>
      <c r="O138" s="56">
        <v>16122</v>
      </c>
      <c r="P138" s="58">
        <v>52.168323722164949</v>
      </c>
      <c r="Q138">
        <v>44</v>
      </c>
    </row>
    <row r="139" spans="1:17" x14ac:dyDescent="0.25">
      <c r="A139" s="53" t="s">
        <v>137</v>
      </c>
      <c r="B139" s="54" t="s">
        <v>227</v>
      </c>
      <c r="C139" s="54" t="s">
        <v>170</v>
      </c>
      <c r="D139" s="54" t="s">
        <v>164</v>
      </c>
      <c r="E139" s="54">
        <v>2.4409999999999998</v>
      </c>
      <c r="F139" s="54" t="s">
        <v>264</v>
      </c>
      <c r="G139" s="54">
        <v>854143.42919532454</v>
      </c>
      <c r="H139" s="54">
        <v>1976</v>
      </c>
      <c r="I139" s="54" t="s">
        <v>274</v>
      </c>
      <c r="J139" s="54">
        <v>12.2</v>
      </c>
      <c r="K139" s="54">
        <v>3</v>
      </c>
      <c r="L139" s="56">
        <v>46.428459885904118</v>
      </c>
      <c r="M139" s="57">
        <v>15.460707636742088</v>
      </c>
      <c r="N139" s="54">
        <v>2020</v>
      </c>
      <c r="O139" s="56">
        <v>14225</v>
      </c>
      <c r="P139" s="58">
        <v>50.023751255234721</v>
      </c>
      <c r="Q139">
        <v>50</v>
      </c>
    </row>
    <row r="140" spans="1:17" x14ac:dyDescent="0.25">
      <c r="A140" s="53" t="s">
        <v>138</v>
      </c>
      <c r="B140" s="54" t="s">
        <v>227</v>
      </c>
      <c r="C140" s="54" t="s">
        <v>181</v>
      </c>
      <c r="D140" s="54" t="s">
        <v>164</v>
      </c>
      <c r="E140" s="54">
        <v>29.555</v>
      </c>
      <c r="F140" s="54" t="s">
        <v>259</v>
      </c>
      <c r="G140" s="54">
        <v>1941204.0822331186</v>
      </c>
      <c r="H140" s="54">
        <v>1983</v>
      </c>
      <c r="I140" s="54" t="s">
        <v>281</v>
      </c>
      <c r="J140" s="54">
        <v>34</v>
      </c>
      <c r="K140" s="54">
        <v>2</v>
      </c>
      <c r="L140" s="56">
        <v>102.32134906655531</v>
      </c>
      <c r="M140" s="57">
        <v>16.43876633654671</v>
      </c>
      <c r="N140" s="54">
        <v>2017</v>
      </c>
      <c r="O140" s="56">
        <v>18606</v>
      </c>
      <c r="P140" s="58">
        <v>51.030153970968591</v>
      </c>
      <c r="Q140">
        <v>43</v>
      </c>
    </row>
    <row r="141" spans="1:17" x14ac:dyDescent="0.25">
      <c r="A141" s="53" t="s">
        <v>139</v>
      </c>
      <c r="B141" s="54" t="s">
        <v>227</v>
      </c>
      <c r="C141" s="54" t="s">
        <v>221</v>
      </c>
      <c r="D141" s="54" t="s">
        <v>165</v>
      </c>
      <c r="E141" s="54">
        <v>0</v>
      </c>
      <c r="F141" s="54" t="s">
        <v>259</v>
      </c>
      <c r="G141" s="54">
        <v>2125797.9171461682</v>
      </c>
      <c r="H141" s="54">
        <v>1983</v>
      </c>
      <c r="I141" s="54" t="s">
        <v>280</v>
      </c>
      <c r="J141" s="54">
        <v>38.1</v>
      </c>
      <c r="K141" s="54">
        <v>2</v>
      </c>
      <c r="L141" s="56">
        <v>135.97238342509812</v>
      </c>
      <c r="M141" s="57">
        <v>15.487202797942762</v>
      </c>
      <c r="N141" s="54">
        <v>2018</v>
      </c>
      <c r="O141" s="56">
        <v>14537</v>
      </c>
      <c r="P141" s="58">
        <v>54.079863686190016</v>
      </c>
      <c r="Q141">
        <v>43</v>
      </c>
    </row>
    <row r="142" spans="1:17" x14ac:dyDescent="0.25">
      <c r="A142" s="53" t="s">
        <v>140</v>
      </c>
      <c r="B142" s="54" t="s">
        <v>227</v>
      </c>
      <c r="C142" s="54" t="s">
        <v>181</v>
      </c>
      <c r="D142" s="54" t="s">
        <v>164</v>
      </c>
      <c r="E142" s="54">
        <v>24.347000000000001</v>
      </c>
      <c r="F142" s="54" t="s">
        <v>259</v>
      </c>
      <c r="G142" s="54">
        <v>1533217.8541241016</v>
      </c>
      <c r="H142" s="54">
        <v>1984</v>
      </c>
      <c r="I142" s="54" t="s">
        <v>260</v>
      </c>
      <c r="J142" s="54">
        <v>39</v>
      </c>
      <c r="K142" s="54">
        <v>2</v>
      </c>
      <c r="L142" s="56">
        <v>146.49245580149761</v>
      </c>
      <c r="M142" s="57">
        <v>9.4807645642663783</v>
      </c>
      <c r="N142" s="54">
        <v>2020</v>
      </c>
      <c r="O142" s="56">
        <v>2852</v>
      </c>
      <c r="P142" s="58">
        <v>51.947033320421916</v>
      </c>
      <c r="Q142">
        <v>42</v>
      </c>
    </row>
    <row r="143" spans="1:17" x14ac:dyDescent="0.25">
      <c r="A143" s="53" t="s">
        <v>141</v>
      </c>
      <c r="B143" s="54" t="s">
        <v>227</v>
      </c>
      <c r="C143" s="54" t="s">
        <v>181</v>
      </c>
      <c r="D143" s="54" t="s">
        <v>164</v>
      </c>
      <c r="E143" s="54">
        <v>7.8470000000000004</v>
      </c>
      <c r="F143" s="54" t="s">
        <v>278</v>
      </c>
      <c r="G143" s="54">
        <v>684418.78347329353</v>
      </c>
      <c r="H143" s="54">
        <v>1983</v>
      </c>
      <c r="I143" s="54" t="s">
        <v>279</v>
      </c>
      <c r="J143" s="54">
        <v>36.9</v>
      </c>
      <c r="K143" s="54">
        <v>4</v>
      </c>
      <c r="L143" s="56">
        <v>203.01524149268255</v>
      </c>
      <c r="M143" s="57">
        <v>3.2569623099441389</v>
      </c>
      <c r="N143" s="54">
        <v>2019</v>
      </c>
      <c r="O143" s="56">
        <v>9403</v>
      </c>
      <c r="P143" s="58">
        <v>49.697135319279006</v>
      </c>
      <c r="Q143">
        <v>43</v>
      </c>
    </row>
    <row r="144" spans="1:17" x14ac:dyDescent="0.25">
      <c r="A144" s="53" t="s">
        <v>142</v>
      </c>
      <c r="B144" s="54" t="s">
        <v>227</v>
      </c>
      <c r="C144" s="54" t="s">
        <v>194</v>
      </c>
      <c r="D144" s="54" t="s">
        <v>165</v>
      </c>
      <c r="E144" s="54">
        <v>0.75600000000000001</v>
      </c>
      <c r="F144" s="54" t="s">
        <v>262</v>
      </c>
      <c r="G144" s="54">
        <v>1276411.6875322682</v>
      </c>
      <c r="H144" s="54">
        <v>1980</v>
      </c>
      <c r="I144" s="54" t="s">
        <v>243</v>
      </c>
      <c r="J144" s="54">
        <v>38</v>
      </c>
      <c r="K144" s="54">
        <v>1</v>
      </c>
      <c r="L144" s="56">
        <v>55.524159611633614</v>
      </c>
      <c r="M144" s="57">
        <v>20.976969384107335</v>
      </c>
      <c r="N144" s="54">
        <v>2018</v>
      </c>
      <c r="O144" s="56">
        <v>12783</v>
      </c>
      <c r="P144" s="58">
        <v>50.46328362180774</v>
      </c>
      <c r="Q144">
        <v>46</v>
      </c>
    </row>
    <row r="145" spans="1:17" x14ac:dyDescent="0.25">
      <c r="A145" s="53" t="s">
        <v>143</v>
      </c>
      <c r="B145" s="54" t="s">
        <v>227</v>
      </c>
      <c r="C145" s="54" t="s">
        <v>190</v>
      </c>
      <c r="D145" s="54" t="s">
        <v>165</v>
      </c>
      <c r="E145" s="54">
        <v>28.114999999999998</v>
      </c>
      <c r="F145" s="54" t="s">
        <v>241</v>
      </c>
      <c r="G145" s="54">
        <v>750912.02564160922</v>
      </c>
      <c r="H145" s="54">
        <v>1983</v>
      </c>
      <c r="I145" s="54" t="s">
        <v>243</v>
      </c>
      <c r="J145" s="54">
        <v>42</v>
      </c>
      <c r="K145" s="54">
        <v>1</v>
      </c>
      <c r="L145" s="56">
        <v>57.071233302892608</v>
      </c>
      <c r="M145" s="57">
        <v>12.724015897714814</v>
      </c>
      <c r="N145" s="54">
        <v>2019</v>
      </c>
      <c r="O145" s="56">
        <v>3497</v>
      </c>
      <c r="P145" s="58">
        <v>52.422433903097307</v>
      </c>
      <c r="Q145">
        <v>43</v>
      </c>
    </row>
    <row r="146" spans="1:17" x14ac:dyDescent="0.25">
      <c r="A146" s="53" t="s">
        <v>144</v>
      </c>
      <c r="B146" s="54" t="s">
        <v>227</v>
      </c>
      <c r="C146" s="54" t="s">
        <v>215</v>
      </c>
      <c r="D146" s="54" t="s">
        <v>164</v>
      </c>
      <c r="E146" s="54">
        <v>5.452</v>
      </c>
      <c r="F146" s="54" t="s">
        <v>250</v>
      </c>
      <c r="G146" s="54">
        <v>5979219.406130271</v>
      </c>
      <c r="H146" s="54">
        <v>1983</v>
      </c>
      <c r="I146" s="54" t="s">
        <v>260</v>
      </c>
      <c r="J146" s="54">
        <v>32</v>
      </c>
      <c r="K146" s="54">
        <v>4</v>
      </c>
      <c r="L146" s="56">
        <v>192.93075616941067</v>
      </c>
      <c r="M146" s="57">
        <v>27.295654823689858</v>
      </c>
      <c r="N146" s="54">
        <v>2021</v>
      </c>
      <c r="O146" s="56">
        <v>2411</v>
      </c>
      <c r="P146" s="58">
        <v>47.468751075164853</v>
      </c>
      <c r="Q146">
        <v>43</v>
      </c>
    </row>
    <row r="147" spans="1:17" x14ac:dyDescent="0.25">
      <c r="A147" s="53" t="s">
        <v>145</v>
      </c>
      <c r="B147" s="54" t="s">
        <v>227</v>
      </c>
      <c r="C147" s="54" t="s">
        <v>183</v>
      </c>
      <c r="D147" s="54" t="s">
        <v>164</v>
      </c>
      <c r="E147" s="54">
        <v>24.538</v>
      </c>
      <c r="F147" s="54" t="s">
        <v>259</v>
      </c>
      <c r="G147" s="54">
        <v>2235316.0606715153</v>
      </c>
      <c r="H147" s="54">
        <v>2012</v>
      </c>
      <c r="I147" s="54" t="s">
        <v>260</v>
      </c>
      <c r="J147" s="54">
        <v>35</v>
      </c>
      <c r="K147" s="54">
        <v>3</v>
      </c>
      <c r="L147" s="56">
        <v>156.5370079672993</v>
      </c>
      <c r="M147" s="57">
        <v>13.993540513577038</v>
      </c>
      <c r="N147" s="54">
        <v>2018</v>
      </c>
      <c r="O147" s="56">
        <v>7945</v>
      </c>
      <c r="P147" s="58">
        <v>54.283382564370932</v>
      </c>
      <c r="Q147">
        <v>14</v>
      </c>
    </row>
    <row r="148" spans="1:17" x14ac:dyDescent="0.25">
      <c r="A148" s="53" t="s">
        <v>146</v>
      </c>
      <c r="B148" s="54" t="s">
        <v>227</v>
      </c>
      <c r="C148" s="54" t="s">
        <v>194</v>
      </c>
      <c r="D148" s="54" t="s">
        <v>165</v>
      </c>
      <c r="E148" s="54">
        <v>14.531000000000001</v>
      </c>
      <c r="F148" s="54" t="s">
        <v>262</v>
      </c>
      <c r="G148" s="54">
        <v>1302748.1563580616</v>
      </c>
      <c r="H148" s="54">
        <v>1989</v>
      </c>
      <c r="I148" s="54" t="s">
        <v>260</v>
      </c>
      <c r="J148" s="54">
        <v>22</v>
      </c>
      <c r="K148" s="54">
        <v>3</v>
      </c>
      <c r="L148" s="56">
        <v>67.47355490334688</v>
      </c>
      <c r="M148" s="57">
        <v>17.177980990045526</v>
      </c>
      <c r="N148" s="54">
        <v>2017</v>
      </c>
      <c r="O148" s="56">
        <v>6605</v>
      </c>
      <c r="P148" s="58">
        <v>43.637005424617691</v>
      </c>
      <c r="Q148">
        <v>37</v>
      </c>
    </row>
    <row r="149" spans="1:17" x14ac:dyDescent="0.25">
      <c r="A149" s="53" t="s">
        <v>147</v>
      </c>
      <c r="B149" s="54" t="s">
        <v>228</v>
      </c>
      <c r="C149" s="54" t="s">
        <v>175</v>
      </c>
      <c r="D149" s="54" t="s">
        <v>165</v>
      </c>
      <c r="E149" s="54">
        <v>25.161999999999999</v>
      </c>
      <c r="F149" s="54" t="s">
        <v>262</v>
      </c>
      <c r="G149" s="54">
        <v>346883.13007561601</v>
      </c>
      <c r="H149" s="54">
        <v>1990</v>
      </c>
      <c r="I149" s="54" t="s">
        <v>239</v>
      </c>
      <c r="J149" s="54">
        <v>11</v>
      </c>
      <c r="K149" s="54">
        <v>1</v>
      </c>
      <c r="L149" s="56">
        <v>18.084320830578481</v>
      </c>
      <c r="M149" s="57">
        <v>16.934555401403099</v>
      </c>
      <c r="N149" s="54">
        <v>2018</v>
      </c>
      <c r="O149" s="56">
        <v>14208</v>
      </c>
      <c r="P149" s="58">
        <v>46.857677323471336</v>
      </c>
      <c r="Q149">
        <v>36</v>
      </c>
    </row>
    <row r="150" spans="1:17" x14ac:dyDescent="0.25">
      <c r="A150" s="53" t="s">
        <v>148</v>
      </c>
      <c r="B150" s="54" t="s">
        <v>227</v>
      </c>
      <c r="C150" s="54" t="s">
        <v>184</v>
      </c>
      <c r="D150" s="54" t="s">
        <v>164</v>
      </c>
      <c r="E150" s="54">
        <v>22.274000000000001</v>
      </c>
      <c r="F150" s="54" t="s">
        <v>259</v>
      </c>
      <c r="G150" s="54">
        <v>4515794.7122687493</v>
      </c>
      <c r="H150" s="54">
        <v>2000</v>
      </c>
      <c r="I150" s="54" t="s">
        <v>260</v>
      </c>
      <c r="J150" s="54">
        <v>37</v>
      </c>
      <c r="K150" s="54">
        <v>3</v>
      </c>
      <c r="L150" s="56">
        <v>128.53720923021689</v>
      </c>
      <c r="M150" s="57">
        <v>29.71375722508645</v>
      </c>
      <c r="N150" s="54">
        <v>2020</v>
      </c>
      <c r="O150" s="56">
        <v>4166</v>
      </c>
      <c r="P150" s="58">
        <v>45.961559992115532</v>
      </c>
      <c r="Q150">
        <v>26</v>
      </c>
    </row>
    <row r="151" spans="1:17" x14ac:dyDescent="0.25">
      <c r="A151" s="53" t="s">
        <v>149</v>
      </c>
      <c r="B151" s="54" t="s">
        <v>228</v>
      </c>
      <c r="C151" s="54" t="s">
        <v>170</v>
      </c>
      <c r="D151" s="54" t="s">
        <v>163</v>
      </c>
      <c r="E151" s="54">
        <v>25.035</v>
      </c>
      <c r="F151" s="54" t="s">
        <v>241</v>
      </c>
      <c r="G151" s="54">
        <v>273414.03381405456</v>
      </c>
      <c r="H151" s="54">
        <v>1986</v>
      </c>
      <c r="I151" s="54" t="s">
        <v>239</v>
      </c>
      <c r="J151" s="54">
        <v>11</v>
      </c>
      <c r="K151" s="54">
        <v>1</v>
      </c>
      <c r="L151" s="56">
        <v>14.651796665419798</v>
      </c>
      <c r="M151" s="57">
        <v>18.217808373010655</v>
      </c>
      <c r="N151" s="54">
        <v>2019</v>
      </c>
      <c r="O151" s="56">
        <v>19061</v>
      </c>
      <c r="P151" s="58">
        <v>53.214085503097259</v>
      </c>
      <c r="Q151">
        <v>40</v>
      </c>
    </row>
    <row r="152" spans="1:17" x14ac:dyDescent="0.25">
      <c r="A152" s="53" t="s">
        <v>150</v>
      </c>
      <c r="B152" s="54" t="s">
        <v>227</v>
      </c>
      <c r="C152" s="54" t="s">
        <v>196</v>
      </c>
      <c r="D152" s="54" t="s">
        <v>165</v>
      </c>
      <c r="E152" s="54">
        <v>22.353999999999999</v>
      </c>
      <c r="F152" s="54" t="s">
        <v>269</v>
      </c>
      <c r="G152" s="54">
        <v>696801.82312620501</v>
      </c>
      <c r="H152" s="54">
        <v>1988</v>
      </c>
      <c r="I152" s="54" t="s">
        <v>251</v>
      </c>
      <c r="J152" s="54">
        <v>10</v>
      </c>
      <c r="K152" s="54">
        <v>3</v>
      </c>
      <c r="L152" s="56">
        <v>37.963268784994028</v>
      </c>
      <c r="M152" s="57">
        <v>16.723361577196396</v>
      </c>
      <c r="N152" s="54">
        <v>2018</v>
      </c>
      <c r="O152" s="56">
        <v>6271</v>
      </c>
      <c r="P152" s="58">
        <v>50.72336352317987</v>
      </c>
      <c r="Q152">
        <v>38</v>
      </c>
    </row>
    <row r="153" spans="1:17" x14ac:dyDescent="0.25">
      <c r="A153" s="53" t="s">
        <v>151</v>
      </c>
      <c r="B153" s="54" t="s">
        <v>227</v>
      </c>
      <c r="C153" s="54" t="s">
        <v>199</v>
      </c>
      <c r="D153" s="54" t="s">
        <v>165</v>
      </c>
      <c r="E153" s="54">
        <v>38.049999999999997</v>
      </c>
      <c r="F153" s="54" t="s">
        <v>241</v>
      </c>
      <c r="G153" s="54">
        <v>1244526.2144428163</v>
      </c>
      <c r="H153" s="54">
        <v>1990</v>
      </c>
      <c r="I153" s="54" t="s">
        <v>260</v>
      </c>
      <c r="J153" s="54">
        <v>22</v>
      </c>
      <c r="K153" s="54">
        <v>2</v>
      </c>
      <c r="L153" s="56">
        <v>45.03100450452353</v>
      </c>
      <c r="M153" s="57">
        <v>23.239337416491104</v>
      </c>
      <c r="N153" s="54">
        <v>2018</v>
      </c>
      <c r="O153" s="56">
        <v>15398</v>
      </c>
      <c r="P153" s="58">
        <v>59.20814397003867</v>
      </c>
      <c r="Q153">
        <v>36</v>
      </c>
    </row>
    <row r="154" spans="1:17" x14ac:dyDescent="0.25">
      <c r="A154" s="53" t="s">
        <v>152</v>
      </c>
      <c r="B154" s="54" t="s">
        <v>228</v>
      </c>
      <c r="C154" s="54" t="s">
        <v>186</v>
      </c>
      <c r="D154" s="54" t="s">
        <v>165</v>
      </c>
      <c r="E154" s="54">
        <v>7.8019999999999996</v>
      </c>
      <c r="F154" s="54" t="s">
        <v>266</v>
      </c>
      <c r="G154" s="54">
        <v>54040.500958624914</v>
      </c>
      <c r="H154" s="54">
        <v>1960</v>
      </c>
      <c r="I154" s="54" t="s">
        <v>246</v>
      </c>
      <c r="J154" s="54">
        <v>1.9</v>
      </c>
      <c r="K154" s="54">
        <v>1</v>
      </c>
      <c r="L154" s="56">
        <v>2.7560632072042948</v>
      </c>
      <c r="M154" s="57">
        <v>19.513183511337864</v>
      </c>
      <c r="N154" s="54">
        <v>2019</v>
      </c>
      <c r="O154" s="56">
        <v>16411</v>
      </c>
      <c r="P154" s="58">
        <v>54.788619120898744</v>
      </c>
      <c r="Q154">
        <v>66</v>
      </c>
    </row>
    <row r="155" spans="1:17" x14ac:dyDescent="0.25">
      <c r="A155" s="53" t="s">
        <v>153</v>
      </c>
      <c r="B155" s="54" t="s">
        <v>227</v>
      </c>
      <c r="C155" s="54" t="s">
        <v>210</v>
      </c>
      <c r="D155" s="54" t="s">
        <v>163</v>
      </c>
      <c r="E155" s="54">
        <v>28.364000000000001</v>
      </c>
      <c r="F155" s="54" t="s">
        <v>241</v>
      </c>
      <c r="G155" s="54">
        <v>8186037.0030753752</v>
      </c>
      <c r="H155" s="54">
        <v>2000</v>
      </c>
      <c r="I155" s="54" t="s">
        <v>260</v>
      </c>
      <c r="J155" s="54">
        <v>66</v>
      </c>
      <c r="K155" s="54">
        <v>3</v>
      </c>
      <c r="L155" s="56">
        <v>327.50961778367764</v>
      </c>
      <c r="M155" s="57">
        <v>24.314867479890527</v>
      </c>
      <c r="N155" s="54">
        <v>2018</v>
      </c>
      <c r="O155" s="56">
        <v>19594</v>
      </c>
      <c r="P155" s="58">
        <v>58.666765237723176</v>
      </c>
      <c r="Q155">
        <v>26</v>
      </c>
    </row>
    <row r="156" spans="1:17" x14ac:dyDescent="0.25">
      <c r="A156" s="53" t="s">
        <v>154</v>
      </c>
      <c r="B156" s="54" t="s">
        <v>227</v>
      </c>
      <c r="C156" s="54" t="s">
        <v>210</v>
      </c>
      <c r="D156" s="54" t="s">
        <v>164</v>
      </c>
      <c r="E156" s="54">
        <v>28.012</v>
      </c>
      <c r="F156" s="54" t="s">
        <v>241</v>
      </c>
      <c r="G156" s="54">
        <v>4924258.1896237042</v>
      </c>
      <c r="H156" s="54">
        <v>2003</v>
      </c>
      <c r="I156" s="54" t="s">
        <v>260</v>
      </c>
      <c r="J156" s="54">
        <v>66</v>
      </c>
      <c r="K156" s="54">
        <v>3</v>
      </c>
      <c r="L156" s="56">
        <v>240.17388905663427</v>
      </c>
      <c r="M156" s="57">
        <v>18.688231484113981</v>
      </c>
      <c r="N156" s="54">
        <v>2019</v>
      </c>
      <c r="O156" s="56">
        <v>15337</v>
      </c>
      <c r="P156" s="58">
        <v>54.31636027979993</v>
      </c>
      <c r="Q156">
        <v>23</v>
      </c>
    </row>
    <row r="157" spans="1:17" x14ac:dyDescent="0.25">
      <c r="A157" s="53" t="s">
        <v>155</v>
      </c>
      <c r="B157" s="54" t="s">
        <v>227</v>
      </c>
      <c r="C157" s="54" t="s">
        <v>210</v>
      </c>
      <c r="D157" s="54" t="s">
        <v>164</v>
      </c>
      <c r="E157" s="54">
        <v>31.073</v>
      </c>
      <c r="F157" s="54" t="s">
        <v>259</v>
      </c>
      <c r="G157" s="54">
        <v>3555209.512223464</v>
      </c>
      <c r="H157" s="54">
        <v>1998</v>
      </c>
      <c r="I157" s="54" t="s">
        <v>260</v>
      </c>
      <c r="J157" s="54">
        <v>60</v>
      </c>
      <c r="K157" s="54">
        <v>3</v>
      </c>
      <c r="L157" s="56">
        <v>213.56592915041441</v>
      </c>
      <c r="M157" s="57">
        <v>14.067843077762825</v>
      </c>
      <c r="N157" s="54">
        <v>2020</v>
      </c>
      <c r="O157" s="56">
        <v>17837</v>
      </c>
      <c r="P157" s="58">
        <v>58.134172153734433</v>
      </c>
      <c r="Q157">
        <v>28</v>
      </c>
    </row>
    <row r="158" spans="1:17" x14ac:dyDescent="0.25">
      <c r="A158" s="53" t="s">
        <v>156</v>
      </c>
      <c r="B158" s="54" t="s">
        <v>227</v>
      </c>
      <c r="C158" s="54" t="s">
        <v>210</v>
      </c>
      <c r="D158" s="54" t="s">
        <v>163</v>
      </c>
      <c r="E158" s="54">
        <v>1.2E-2</v>
      </c>
      <c r="F158" s="54" t="s">
        <v>259</v>
      </c>
      <c r="G158" s="54">
        <v>1823820.469158401</v>
      </c>
      <c r="H158" s="54">
        <v>1994</v>
      </c>
      <c r="I158" s="54" t="s">
        <v>260</v>
      </c>
      <c r="J158" s="54">
        <v>34</v>
      </c>
      <c r="K158" s="54">
        <v>2</v>
      </c>
      <c r="L158" s="56">
        <v>107.35696688006703</v>
      </c>
      <c r="M158" s="57">
        <v>16.813437807700627</v>
      </c>
      <c r="N158" s="54">
        <v>2020</v>
      </c>
      <c r="O158" s="56">
        <v>14128</v>
      </c>
      <c r="P158" s="58">
        <v>54.322272739373574</v>
      </c>
      <c r="Q158">
        <v>32</v>
      </c>
    </row>
    <row r="159" spans="1:17" x14ac:dyDescent="0.25">
      <c r="A159" s="53" t="s">
        <v>157</v>
      </c>
      <c r="B159" s="54" t="s">
        <v>227</v>
      </c>
      <c r="C159" s="54" t="s">
        <v>209</v>
      </c>
      <c r="D159" s="54" t="s">
        <v>164</v>
      </c>
      <c r="E159" s="54">
        <v>43.838999999999999</v>
      </c>
      <c r="F159" s="54" t="s">
        <v>259</v>
      </c>
      <c r="G159" s="54">
        <v>1288238.6208550341</v>
      </c>
      <c r="H159" s="54">
        <v>1994</v>
      </c>
      <c r="I159" s="54" t="s">
        <v>260</v>
      </c>
      <c r="J159" s="54">
        <v>34</v>
      </c>
      <c r="K159" s="54">
        <v>2</v>
      </c>
      <c r="L159" s="56">
        <v>85.305460808796269</v>
      </c>
      <c r="M159" s="57">
        <v>13.772770592285218</v>
      </c>
      <c r="N159" s="54">
        <v>2018</v>
      </c>
      <c r="O159" s="56">
        <v>19162</v>
      </c>
      <c r="P159" s="58">
        <v>54.479123199478295</v>
      </c>
      <c r="Q159">
        <v>32</v>
      </c>
    </row>
    <row r="160" spans="1:17" x14ac:dyDescent="0.25">
      <c r="A160" s="53" t="s">
        <v>158</v>
      </c>
      <c r="B160" s="54" t="s">
        <v>227</v>
      </c>
      <c r="C160" s="54" t="s">
        <v>207</v>
      </c>
      <c r="D160" s="54" t="s">
        <v>163</v>
      </c>
      <c r="E160" s="54">
        <v>0.311</v>
      </c>
      <c r="F160" s="54" t="s">
        <v>241</v>
      </c>
      <c r="G160" s="54">
        <v>1685967.5202401984</v>
      </c>
      <c r="H160" s="54">
        <v>2008</v>
      </c>
      <c r="I160" s="54" t="s">
        <v>260</v>
      </c>
      <c r="J160" s="54">
        <v>56</v>
      </c>
      <c r="K160" s="54">
        <v>1</v>
      </c>
      <c r="L160" s="56">
        <v>91.845560697775198</v>
      </c>
      <c r="M160" s="57">
        <v>17.94017985700021</v>
      </c>
      <c r="N160" s="54">
        <v>2021</v>
      </c>
      <c r="O160" s="56">
        <v>11552</v>
      </c>
      <c r="P160" s="58">
        <v>54.720991260209395</v>
      </c>
      <c r="Q160">
        <v>18</v>
      </c>
    </row>
    <row r="161" spans="1:17" x14ac:dyDescent="0.25">
      <c r="A161" s="53" t="s">
        <v>159</v>
      </c>
      <c r="B161" s="54" t="s">
        <v>227</v>
      </c>
      <c r="C161" s="54" t="s">
        <v>210</v>
      </c>
      <c r="D161" s="54" t="s">
        <v>163</v>
      </c>
      <c r="E161" s="54">
        <v>30.952999999999999</v>
      </c>
      <c r="F161" s="54" t="s">
        <v>241</v>
      </c>
      <c r="G161" s="54">
        <v>953883.61087304668</v>
      </c>
      <c r="H161" s="54">
        <v>1994</v>
      </c>
      <c r="I161" s="54" t="s">
        <v>267</v>
      </c>
      <c r="J161" s="54">
        <v>33.5</v>
      </c>
      <c r="K161" s="54">
        <v>1</v>
      </c>
      <c r="L161" s="56">
        <v>65.226238398301987</v>
      </c>
      <c r="M161" s="57">
        <v>12.900389117391288</v>
      </c>
      <c r="N161" s="54">
        <v>2021</v>
      </c>
      <c r="O161" s="56">
        <v>15677</v>
      </c>
      <c r="P161" s="58">
        <v>54.942575098181727</v>
      </c>
      <c r="Q161">
        <v>32</v>
      </c>
    </row>
    <row r="162" spans="1:17" x14ac:dyDescent="0.25">
      <c r="A162" s="59" t="s">
        <v>160</v>
      </c>
      <c r="B162" s="60" t="s">
        <v>227</v>
      </c>
      <c r="C162" s="60" t="s">
        <v>210</v>
      </c>
      <c r="D162" s="60" t="s">
        <v>164</v>
      </c>
      <c r="E162" s="60">
        <v>30.61</v>
      </c>
      <c r="F162" s="60" t="s">
        <v>241</v>
      </c>
      <c r="G162" s="60">
        <v>1244060.7934518887</v>
      </c>
      <c r="H162" s="60">
        <v>1998</v>
      </c>
      <c r="I162" s="60" t="s">
        <v>267</v>
      </c>
      <c r="J162" s="60">
        <v>33.5</v>
      </c>
      <c r="K162" s="60">
        <v>1</v>
      </c>
      <c r="L162" s="61">
        <v>49.055740888115118</v>
      </c>
      <c r="M162" s="62">
        <v>23.171562385258046</v>
      </c>
      <c r="N162" s="54">
        <v>2020</v>
      </c>
      <c r="O162" s="56">
        <v>17806</v>
      </c>
      <c r="P162" s="58">
        <v>60.665353774684696</v>
      </c>
      <c r="Q162">
        <v>28</v>
      </c>
    </row>
    <row r="163" spans="1:17" x14ac:dyDescent="0.25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50AA-4C70-48AF-983C-135B7E60608C}">
  <dimension ref="A3:C20"/>
  <sheetViews>
    <sheetView workbookViewId="0">
      <selection activeCell="A3" sqref="A3"/>
    </sheetView>
  </sheetViews>
  <sheetFormatPr defaultRowHeight="13.2" x14ac:dyDescent="0.25"/>
  <sheetData>
    <row r="3" spans="1:3" x14ac:dyDescent="0.25">
      <c r="A3" s="41"/>
      <c r="B3" s="42"/>
      <c r="C3" s="43"/>
    </row>
    <row r="4" spans="1:3" x14ac:dyDescent="0.25">
      <c r="A4" s="44"/>
      <c r="B4" s="45"/>
      <c r="C4" s="46"/>
    </row>
    <row r="5" spans="1:3" x14ac:dyDescent="0.25">
      <c r="A5" s="44"/>
      <c r="B5" s="45"/>
      <c r="C5" s="46"/>
    </row>
    <row r="6" spans="1:3" x14ac:dyDescent="0.25">
      <c r="A6" s="44"/>
      <c r="B6" s="45"/>
      <c r="C6" s="46"/>
    </row>
    <row r="7" spans="1:3" x14ac:dyDescent="0.25">
      <c r="A7" s="44"/>
      <c r="B7" s="45"/>
      <c r="C7" s="46"/>
    </row>
    <row r="8" spans="1:3" x14ac:dyDescent="0.25">
      <c r="A8" s="44"/>
      <c r="B8" s="45"/>
      <c r="C8" s="46"/>
    </row>
    <row r="9" spans="1:3" x14ac:dyDescent="0.25">
      <c r="A9" s="44"/>
      <c r="B9" s="45"/>
      <c r="C9" s="46"/>
    </row>
    <row r="10" spans="1:3" x14ac:dyDescent="0.25">
      <c r="A10" s="44"/>
      <c r="B10" s="45"/>
      <c r="C10" s="46"/>
    </row>
    <row r="11" spans="1:3" x14ac:dyDescent="0.25">
      <c r="A11" s="44"/>
      <c r="B11" s="45"/>
      <c r="C11" s="46"/>
    </row>
    <row r="12" spans="1:3" x14ac:dyDescent="0.25">
      <c r="A12" s="44"/>
      <c r="B12" s="45"/>
      <c r="C12" s="46"/>
    </row>
    <row r="13" spans="1:3" x14ac:dyDescent="0.25">
      <c r="A13" s="44"/>
      <c r="B13" s="45"/>
      <c r="C13" s="46"/>
    </row>
    <row r="14" spans="1:3" x14ac:dyDescent="0.25">
      <c r="A14" s="44"/>
      <c r="B14" s="45"/>
      <c r="C14" s="46"/>
    </row>
    <row r="15" spans="1:3" x14ac:dyDescent="0.25">
      <c r="A15" s="44"/>
      <c r="B15" s="45"/>
      <c r="C15" s="46"/>
    </row>
    <row r="16" spans="1:3" x14ac:dyDescent="0.25">
      <c r="A16" s="44"/>
      <c r="B16" s="45"/>
      <c r="C16" s="46"/>
    </row>
    <row r="17" spans="1:3" x14ac:dyDescent="0.25">
      <c r="A17" s="44"/>
      <c r="B17" s="45"/>
      <c r="C17" s="46"/>
    </row>
    <row r="18" spans="1:3" x14ac:dyDescent="0.25">
      <c r="A18" s="44"/>
      <c r="B18" s="45"/>
      <c r="C18" s="46"/>
    </row>
    <row r="19" spans="1:3" x14ac:dyDescent="0.25">
      <c r="A19" s="44"/>
      <c r="B19" s="45"/>
      <c r="C19" s="46"/>
    </row>
    <row r="20" spans="1:3" x14ac:dyDescent="0.25">
      <c r="A20" s="47"/>
      <c r="B20" s="48"/>
      <c r="C20" s="4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zoomScale="150" zoomScaleNormal="120" workbookViewId="0">
      <selection sqref="A1:I9"/>
    </sheetView>
  </sheetViews>
  <sheetFormatPr defaultColWidth="8.88671875" defaultRowHeight="13.2" x14ac:dyDescent="0.25"/>
  <cols>
    <col min="1" max="1" width="25.44140625" bestFit="1" customWidth="1"/>
    <col min="2" max="8" width="9.44140625" bestFit="1" customWidth="1"/>
    <col min="9" max="9" width="10.44140625" bestFit="1" customWidth="1"/>
  </cols>
  <sheetData>
    <row r="1" spans="1:14" ht="15" thickBot="1" x14ac:dyDescent="0.35">
      <c r="A1" s="2"/>
      <c r="B1" s="79" t="s">
        <v>293</v>
      </c>
      <c r="C1" s="80"/>
      <c r="D1" s="80"/>
      <c r="E1" s="80"/>
      <c r="F1" s="80"/>
      <c r="G1" s="80"/>
      <c r="H1" s="80"/>
      <c r="I1" s="81"/>
    </row>
    <row r="2" spans="1:14" ht="14.4" x14ac:dyDescent="0.3">
      <c r="A2" s="12" t="s">
        <v>298</v>
      </c>
      <c r="B2" s="8" t="s">
        <v>285</v>
      </c>
      <c r="C2" s="3" t="s">
        <v>286</v>
      </c>
      <c r="D2" s="3" t="s">
        <v>287</v>
      </c>
      <c r="E2" s="3" t="s">
        <v>288</v>
      </c>
      <c r="F2" s="3" t="s">
        <v>289</v>
      </c>
      <c r="G2" s="3" t="s">
        <v>290</v>
      </c>
      <c r="H2" s="3" t="s">
        <v>291</v>
      </c>
      <c r="I2" s="9" t="s">
        <v>292</v>
      </c>
    </row>
    <row r="3" spans="1:14" x14ac:dyDescent="0.25">
      <c r="A3" s="13" t="s">
        <v>284</v>
      </c>
      <c r="B3" s="10"/>
      <c r="C3" s="7"/>
      <c r="D3" s="7"/>
      <c r="E3" s="7"/>
      <c r="F3" s="7"/>
      <c r="G3" s="7"/>
      <c r="H3" s="7"/>
      <c r="I3" s="11"/>
    </row>
    <row r="4" spans="1:14" x14ac:dyDescent="0.25">
      <c r="A4" s="14" t="s">
        <v>300</v>
      </c>
      <c r="B4" s="28">
        <v>2.16</v>
      </c>
      <c r="C4" s="29">
        <v>1.4713439962074859</v>
      </c>
      <c r="D4" s="29">
        <v>1.3024814357882581</v>
      </c>
      <c r="E4" s="29">
        <v>1.1199999999999999</v>
      </c>
      <c r="F4" s="29">
        <v>1.392407135684663</v>
      </c>
      <c r="G4" s="29">
        <v>1.5726537877709967</v>
      </c>
      <c r="H4" s="29">
        <v>2.0656471253130859</v>
      </c>
      <c r="I4" s="30">
        <v>3.7155682110372106</v>
      </c>
      <c r="K4" s="16"/>
      <c r="L4" s="16"/>
      <c r="M4" s="16"/>
      <c r="N4" s="16"/>
    </row>
    <row r="5" spans="1:14" x14ac:dyDescent="0.25">
      <c r="A5" s="14" t="s">
        <v>301</v>
      </c>
      <c r="B5" s="28">
        <v>5.4</v>
      </c>
      <c r="C5" s="29">
        <v>1.8397554490531491</v>
      </c>
      <c r="D5" s="29">
        <v>1.378226343819509</v>
      </c>
      <c r="E5" s="29">
        <v>1.1199999999999999</v>
      </c>
      <c r="F5" s="29">
        <v>1.1212590234571118</v>
      </c>
      <c r="G5" s="29">
        <v>1.2986656634558598</v>
      </c>
      <c r="H5" s="29">
        <v>1.9331328233532554</v>
      </c>
      <c r="I5" s="30">
        <v>3.6508066615170329</v>
      </c>
      <c r="K5" s="16"/>
      <c r="L5" s="16"/>
      <c r="M5" s="16"/>
      <c r="N5" s="16"/>
    </row>
    <row r="6" spans="1:14" x14ac:dyDescent="0.25">
      <c r="A6" s="14" t="s">
        <v>299</v>
      </c>
      <c r="B6" s="28">
        <v>4.2026361242699464</v>
      </c>
      <c r="C6" s="29">
        <v>2.2298607132829185</v>
      </c>
      <c r="D6" s="29">
        <v>1.1729581165315786</v>
      </c>
      <c r="E6" s="29">
        <v>1.26</v>
      </c>
      <c r="F6" s="29">
        <v>1.3009934198309752</v>
      </c>
      <c r="G6" s="29">
        <v>1.2387605035438671</v>
      </c>
      <c r="H6" s="29">
        <v>1.8081520274296263</v>
      </c>
      <c r="I6" s="30">
        <v>4.7229517100396885</v>
      </c>
      <c r="K6" s="16"/>
      <c r="L6" s="16"/>
      <c r="M6" s="16"/>
      <c r="N6" s="16"/>
    </row>
    <row r="7" spans="1:14" x14ac:dyDescent="0.25">
      <c r="A7" s="14" t="s">
        <v>294</v>
      </c>
      <c r="B7" s="28">
        <v>2.72</v>
      </c>
      <c r="C7" s="29">
        <v>1.4076131330002117</v>
      </c>
      <c r="D7" s="29">
        <v>1.6931563886704517</v>
      </c>
      <c r="E7" s="29">
        <v>1.26</v>
      </c>
      <c r="F7" s="29">
        <v>1.2671772378490995</v>
      </c>
      <c r="G7" s="29">
        <v>2.0704729133804021</v>
      </c>
      <c r="H7" s="29">
        <v>3.1362107454035755</v>
      </c>
      <c r="I7" s="30">
        <v>2.7972580805776408</v>
      </c>
      <c r="K7" s="16"/>
      <c r="L7" s="16"/>
      <c r="M7" s="16"/>
      <c r="N7" s="16"/>
    </row>
    <row r="8" spans="1:14" x14ac:dyDescent="0.25">
      <c r="A8" s="14" t="s">
        <v>295</v>
      </c>
      <c r="B8" s="28">
        <v>2.64</v>
      </c>
      <c r="C8" s="29">
        <v>1.9061458148091335</v>
      </c>
      <c r="D8" s="29">
        <v>1.12707089298576</v>
      </c>
      <c r="E8" s="29">
        <v>1.4400000000000002</v>
      </c>
      <c r="F8" s="29">
        <v>1.0874253547464683</v>
      </c>
      <c r="G8" s="29">
        <v>1.7022425880626988</v>
      </c>
      <c r="H8" s="29">
        <v>2.1090939618688345</v>
      </c>
      <c r="I8" s="30">
        <v>2.4496619857172104</v>
      </c>
      <c r="K8" s="16"/>
      <c r="L8" s="16"/>
      <c r="M8" s="16"/>
      <c r="N8" s="16"/>
    </row>
    <row r="9" spans="1:14" ht="13.8" thickBot="1" x14ac:dyDescent="0.3">
      <c r="A9" s="15" t="s">
        <v>296</v>
      </c>
      <c r="B9" s="31">
        <v>3.5999999999999996</v>
      </c>
      <c r="C9" s="32">
        <v>3.2098570110362927</v>
      </c>
      <c r="D9" s="32">
        <v>1.2497194174691528</v>
      </c>
      <c r="E9" s="32">
        <v>1.35</v>
      </c>
      <c r="F9" s="32">
        <v>1.5174693953394651</v>
      </c>
      <c r="G9" s="32">
        <v>1.7516386630907834</v>
      </c>
      <c r="H9" s="32">
        <v>2.7024456568317623</v>
      </c>
      <c r="I9" s="33">
        <v>7.8000000000000007</v>
      </c>
      <c r="K9" s="16"/>
      <c r="L9" s="16"/>
      <c r="M9" s="16"/>
      <c r="N9" s="16"/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Bridge Data</vt:lpstr>
      <vt:lpstr>Sheet6</vt:lpstr>
      <vt:lpstr>Sheet2</vt:lpstr>
      <vt:lpstr>Sheet1</vt:lpstr>
      <vt:lpstr>Bridge Deterioration Rates</vt:lpstr>
      <vt:lpstr>'Bridge Data'!Print_Titles</vt:lpstr>
    </vt:vector>
  </TitlesOfParts>
  <Company>University of Waterloo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Kennepohl</dc:creator>
  <cp:lastModifiedBy>Asus</cp:lastModifiedBy>
  <cp:lastPrinted>2006-08-08T16:01:27Z</cp:lastPrinted>
  <dcterms:created xsi:type="dcterms:W3CDTF">2006-05-24T11:32:01Z</dcterms:created>
  <dcterms:modified xsi:type="dcterms:W3CDTF">2026-06-09T07:42:18Z</dcterms:modified>
</cp:coreProperties>
</file>